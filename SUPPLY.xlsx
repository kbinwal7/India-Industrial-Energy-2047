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Sem_VII\BTP\Final Submission\"/>
    </mc:Choice>
  </mc:AlternateContent>
  <xr:revisionPtr revIDLastSave="0" documentId="13_ncr:1_{E7CCF640-EAAC-4128-AD53-333593E601CF}" xr6:coauthVersionLast="47" xr6:coauthVersionMax="47" xr10:uidLastSave="{00000000-0000-0000-0000-000000000000}"/>
  <bookViews>
    <workbookView xWindow="-110" yWindow="-110" windowWidth="19420" windowHeight="12220" activeTab="3" xr2:uid="{EC5C685E-F18F-435F-B082-86485B6F1C77}"/>
  </bookViews>
  <sheets>
    <sheet name="time" sheetId="1" r:id="rId1"/>
    <sheet name="sensitivity" sheetId="4" r:id="rId2"/>
    <sheet name="scenarios" sheetId="5" r:id="rId3"/>
    <sheet name="ratio" sheetId="6" r:id="rId4"/>
    <sheet name="Sheet1" sheetId="3" state="hidden" r:id="rId5"/>
    <sheet name="Intensity" sheetId="2" r:id="rId6"/>
  </sheets>
  <externalReferences>
    <externalReference r:id="rId7"/>
  </externalReferences>
  <definedNames>
    <definedName name="_xlchart.v1.0" hidden="1">scenarios!$G$3:$G$10</definedName>
    <definedName name="_xlchart.v1.1" hidden="1">scenarios!$H$2</definedName>
    <definedName name="_xlchart.v1.2" hidden="1">scenarios!$H$3:$H$10</definedName>
    <definedName name="_xlchart.v1.3" hidden="1">scenarios!$I$2</definedName>
    <definedName name="_xlchart.v1.4" hidden="1">scenarios!$I$3:$I$10</definedName>
    <definedName name="_xlchart.v1.5" hidden="1">scenarios!$A$3:$A$10</definedName>
    <definedName name="_xlchart.v1.6" hidden="1">scenarios!$B$2</definedName>
    <definedName name="_xlchart.v1.7" hidden="1">scenarios!$B$3:$B$10</definedName>
    <definedName name="_xlchart.v1.8" hidden="1">scenarios!$C$2</definedName>
    <definedName name="_xlchart.v1.9" hidden="1">scenarios!$C$3:$C$10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6" l="1"/>
  <c r="E8" i="6" s="1"/>
  <c r="D7" i="6"/>
  <c r="E7" i="6" s="1"/>
  <c r="D6" i="6"/>
  <c r="F6" i="6" s="1"/>
  <c r="F5" i="6"/>
  <c r="E5" i="6"/>
  <c r="D5" i="6"/>
  <c r="D4" i="6"/>
  <c r="E4" i="6" s="1"/>
  <c r="D3" i="6"/>
  <c r="E3" i="6" s="1"/>
  <c r="E2" i="6"/>
  <c r="D2" i="6"/>
  <c r="F2" i="6" s="1"/>
  <c r="I10" i="5"/>
  <c r="J10" i="5"/>
  <c r="H10" i="5"/>
  <c r="I9" i="5"/>
  <c r="J9" i="5"/>
  <c r="H9" i="5"/>
  <c r="I8" i="5"/>
  <c r="J8" i="5"/>
  <c r="H8" i="5"/>
  <c r="I7" i="5"/>
  <c r="J7" i="5"/>
  <c r="H7" i="5"/>
  <c r="I6" i="5"/>
  <c r="J6" i="5"/>
  <c r="H6" i="5"/>
  <c r="I5" i="5"/>
  <c r="J5" i="5"/>
  <c r="H5" i="5"/>
  <c r="I4" i="5"/>
  <c r="J4" i="5"/>
  <c r="H4" i="5"/>
  <c r="I3" i="5"/>
  <c r="J3" i="5"/>
  <c r="H3" i="5"/>
  <c r="K10" i="4"/>
  <c r="L10" i="4"/>
  <c r="M10" i="4"/>
  <c r="N10" i="4"/>
  <c r="J10" i="4"/>
  <c r="K9" i="4"/>
  <c r="L9" i="4"/>
  <c r="M9" i="4"/>
  <c r="N9" i="4"/>
  <c r="J9" i="4"/>
  <c r="K8" i="4"/>
  <c r="L8" i="4"/>
  <c r="M8" i="4"/>
  <c r="N8" i="4"/>
  <c r="J8" i="4"/>
  <c r="K7" i="4"/>
  <c r="L7" i="4"/>
  <c r="M7" i="4"/>
  <c r="N7" i="4"/>
  <c r="J7" i="4"/>
  <c r="K6" i="4"/>
  <c r="L6" i="4"/>
  <c r="M6" i="4"/>
  <c r="N6" i="4"/>
  <c r="J6" i="4"/>
  <c r="K5" i="4"/>
  <c r="L5" i="4"/>
  <c r="M5" i="4"/>
  <c r="N5" i="4"/>
  <c r="J5" i="4"/>
  <c r="K4" i="4"/>
  <c r="L4" i="4"/>
  <c r="M4" i="4"/>
  <c r="N4" i="4"/>
  <c r="J4" i="4"/>
  <c r="K3" i="4"/>
  <c r="L3" i="4"/>
  <c r="M3" i="4"/>
  <c r="N3" i="4"/>
  <c r="J3" i="4"/>
  <c r="J3" i="1"/>
  <c r="K10" i="1"/>
  <c r="L10" i="1"/>
  <c r="M10" i="1"/>
  <c r="N10" i="1"/>
  <c r="J10" i="1"/>
  <c r="K9" i="1"/>
  <c r="L9" i="1"/>
  <c r="M9" i="1"/>
  <c r="N9" i="1"/>
  <c r="J9" i="1"/>
  <c r="K8" i="1"/>
  <c r="L8" i="1"/>
  <c r="M8" i="1"/>
  <c r="N8" i="1"/>
  <c r="J8" i="1"/>
  <c r="F3" i="6" l="1"/>
  <c r="F8" i="6"/>
  <c r="F4" i="6"/>
  <c r="F7" i="6"/>
  <c r="E6" i="6"/>
  <c r="K7" i="1"/>
  <c r="L7" i="1"/>
  <c r="M7" i="1"/>
  <c r="N7" i="1"/>
  <c r="J7" i="1"/>
  <c r="K6" i="1"/>
  <c r="L6" i="1"/>
  <c r="M6" i="1"/>
  <c r="N6" i="1"/>
  <c r="J6" i="1"/>
  <c r="K5" i="1"/>
  <c r="L5" i="1"/>
  <c r="M5" i="1"/>
  <c r="N5" i="1"/>
  <c r="J5" i="1"/>
  <c r="K4" i="1"/>
  <c r="L4" i="1"/>
  <c r="M4" i="1"/>
  <c r="N4" i="1"/>
  <c r="J4" i="1"/>
  <c r="K3" i="1"/>
  <c r="L3" i="1"/>
  <c r="M3" i="1"/>
  <c r="N3" i="1"/>
  <c r="H21" i="2" l="1"/>
  <c r="F21" i="2"/>
  <c r="E21" i="2"/>
  <c r="D21" i="2"/>
  <c r="C21" i="2"/>
  <c r="B21" i="2"/>
  <c r="H20" i="2"/>
  <c r="F20" i="2"/>
  <c r="E20" i="2"/>
  <c r="D20" i="2"/>
  <c r="C20" i="2"/>
  <c r="B20" i="2"/>
  <c r="H19" i="2"/>
  <c r="F19" i="2"/>
  <c r="E19" i="2"/>
  <c r="D19" i="2"/>
  <c r="C19" i="2"/>
  <c r="B19" i="2"/>
  <c r="H18" i="2"/>
  <c r="F18" i="2"/>
  <c r="E18" i="2"/>
  <c r="D18" i="2"/>
  <c r="C18" i="2"/>
  <c r="B18" i="2"/>
  <c r="H17" i="2"/>
  <c r="F17" i="2"/>
  <c r="E17" i="2"/>
  <c r="D17" i="2"/>
  <c r="C17" i="2"/>
  <c r="B17" i="2"/>
  <c r="H16" i="2"/>
  <c r="F16" i="2"/>
  <c r="E16" i="2"/>
  <c r="D16" i="2"/>
  <c r="C16" i="2"/>
  <c r="B16" i="2"/>
  <c r="H15" i="2"/>
  <c r="F15" i="2"/>
  <c r="E15" i="2"/>
  <c r="D15" i="2"/>
  <c r="C15" i="2"/>
  <c r="B15" i="2"/>
  <c r="P9" i="2"/>
  <c r="H9" i="2"/>
  <c r="P8" i="2"/>
  <c r="H8" i="2"/>
  <c r="P7" i="2"/>
  <c r="H7" i="2"/>
  <c r="P6" i="2"/>
  <c r="H6" i="2"/>
  <c r="P5" i="2"/>
  <c r="H5" i="2"/>
  <c r="P4" i="2"/>
  <c r="H4" i="2"/>
  <c r="P3" i="2"/>
  <c r="H3" i="2"/>
</calcChain>
</file>

<file path=xl/sharedStrings.xml><?xml version="1.0" encoding="utf-8"?>
<sst xmlns="http://schemas.openxmlformats.org/spreadsheetml/2006/main" count="144" uniqueCount="44">
  <si>
    <t>Source</t>
  </si>
  <si>
    <t>Coal</t>
  </si>
  <si>
    <t>Oil</t>
  </si>
  <si>
    <t>Natural Gas</t>
  </si>
  <si>
    <t>Nuclear</t>
  </si>
  <si>
    <t>Biomass</t>
  </si>
  <si>
    <t>MW</t>
  </si>
  <si>
    <t>primary</t>
  </si>
  <si>
    <t>secondary</t>
  </si>
  <si>
    <t>year</t>
  </si>
  <si>
    <t>iron_steel</t>
  </si>
  <si>
    <t>aluminium</t>
  </si>
  <si>
    <t>fertiliser</t>
  </si>
  <si>
    <t>petrochemical</t>
  </si>
  <si>
    <t>cement</t>
  </si>
  <si>
    <t>2016-17</t>
  </si>
  <si>
    <t>2017-18</t>
  </si>
  <si>
    <t>2018-19</t>
  </si>
  <si>
    <t>2019-20</t>
  </si>
  <si>
    <t>2020-21</t>
  </si>
  <si>
    <t>2021-22</t>
  </si>
  <si>
    <t>2022-23</t>
  </si>
  <si>
    <t>Year</t>
  </si>
  <si>
    <t>Ratio</t>
  </si>
  <si>
    <t>cuf</t>
  </si>
  <si>
    <t>Hydro</t>
  </si>
  <si>
    <t>Solar</t>
  </si>
  <si>
    <t>Wind</t>
  </si>
  <si>
    <t>GW</t>
  </si>
  <si>
    <t>GWh</t>
  </si>
  <si>
    <t xml:space="preserve">λ=0     </t>
  </si>
  <si>
    <t xml:space="preserve">λ=0.25   </t>
  </si>
  <si>
    <t xml:space="preserve">  λ=0.5     </t>
  </si>
  <si>
    <t xml:space="preserve">λ=0.75   </t>
  </si>
  <si>
    <t xml:space="preserve">  λ=1</t>
  </si>
  <si>
    <t xml:space="preserve">Worst Case, λ=0.5     </t>
  </si>
  <si>
    <t xml:space="preserve"> Baseline,  λ=0.5     </t>
  </si>
  <si>
    <t xml:space="preserve"> BestCase, λ=0.5</t>
  </si>
  <si>
    <t>factor</t>
  </si>
  <si>
    <t>fossil_mtoe</t>
  </si>
  <si>
    <t>non_fossil_mtoe</t>
  </si>
  <si>
    <t>Total</t>
  </si>
  <si>
    <t>% fossil</t>
  </si>
  <si>
    <t>%Electricty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</si>
</sst>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7"/>
      <color rgb="FF333333"/>
      <name val="Segoe UI"/>
      <family val="2"/>
    </font>
    <font>
      <sz val="7"/>
      <color rgb="FF333333"/>
      <name val="Segoe UI"/>
      <family val="2"/>
    </font>
    <font>
      <b/>
      <sz val="7"/>
      <color rgb="FF333333"/>
      <name val="Arial"/>
      <family val="2"/>
    </font>
    <font>
      <sz val="7"/>
      <color theme="1"/>
      <name val="Arial"/>
      <family val="2"/>
    </font>
    <font>
      <sz val="7"/>
      <color rgb="FF333333"/>
      <name val="Arial"/>
      <family val="2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2" fontId="4" fillId="0" borderId="4" xfId="0" applyNumberFormat="1" applyFont="1" applyBorder="1"/>
    <xf numFmtId="2" fontId="5" fillId="0" borderId="4" xfId="0" applyNumberFormat="1" applyFont="1" applyBorder="1" applyAlignment="1">
      <alignment horizontal="right" vertical="center" wrapText="1"/>
    </xf>
    <xf numFmtId="0" fontId="0" fillId="0" borderId="5" xfId="0" applyBorder="1"/>
    <xf numFmtId="2" fontId="2" fillId="0" borderId="1" xfId="0" applyNumberFormat="1" applyFont="1" applyBorder="1" applyAlignment="1">
      <alignment horizontal="right" vertical="center" wrapText="1"/>
    </xf>
    <xf numFmtId="1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 vertical="center" wrapText="1"/>
    </xf>
    <xf numFmtId="0" fontId="6" fillId="0" borderId="0" xfId="0" applyFont="1"/>
    <xf numFmtId="2" fontId="6" fillId="0" borderId="0" xfId="0" applyNumberFormat="1" applyFont="1"/>
    <xf numFmtId="2" fontId="2" fillId="0" borderId="0" xfId="0" applyNumberFormat="1" applyFont="1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time!$I$3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time!$J$3:$N$3</c:f>
              <c:numCache>
                <c:formatCode>0.00</c:formatCode>
                <c:ptCount val="5"/>
                <c:pt idx="0">
                  <c:v>18.478023483365952</c:v>
                </c:pt>
                <c:pt idx="1">
                  <c:v>26.643131115459891</c:v>
                </c:pt>
                <c:pt idx="2">
                  <c:v>39.539344422700594</c:v>
                </c:pt>
                <c:pt idx="3">
                  <c:v>59.880000000000017</c:v>
                </c:pt>
                <c:pt idx="4">
                  <c:v>71.010636007827799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7-4900-B965-4345719F2079}"/>
            </c:ext>
          </c:extLst>
        </c:ser>
        <c:ser>
          <c:idx val="1"/>
          <c:order val="1"/>
          <c:tx>
            <c:strRef>
              <c:f>time!$I$4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time!$J$4:$N$4</c:f>
              <c:numCache>
                <c:formatCode>0.00</c:formatCode>
                <c:ptCount val="5"/>
                <c:pt idx="0">
                  <c:v>28.743592085235921</c:v>
                </c:pt>
                <c:pt idx="1">
                  <c:v>41.444870624048704</c:v>
                </c:pt>
                <c:pt idx="2">
                  <c:v>61.505646879756469</c:v>
                </c:pt>
                <c:pt idx="3">
                  <c:v>93.146666666666661</c:v>
                </c:pt>
                <c:pt idx="4">
                  <c:v>110.46098934550989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7-4900-B965-4345719F2079}"/>
            </c:ext>
          </c:extLst>
        </c:ser>
        <c:ser>
          <c:idx val="2"/>
          <c:order val="2"/>
          <c:tx>
            <c:strRef>
              <c:f>time!$I$5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time!$J$5:$N$5</c:f>
              <c:numCache>
                <c:formatCode>0.00</c:formatCode>
                <c:ptCount val="5"/>
                <c:pt idx="0">
                  <c:v>10.778847031963471</c:v>
                </c:pt>
                <c:pt idx="1">
                  <c:v>15.541826484018264</c:v>
                </c:pt>
                <c:pt idx="2">
                  <c:v>23.064617579908674</c:v>
                </c:pt>
                <c:pt idx="3">
                  <c:v>34.93</c:v>
                </c:pt>
                <c:pt idx="4">
                  <c:v>41.422871004566204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7-4900-B965-4345719F2079}"/>
            </c:ext>
          </c:extLst>
        </c:ser>
        <c:ser>
          <c:idx val="3"/>
          <c:order val="3"/>
          <c:tx>
            <c:strRef>
              <c:f>time!$I$6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time!$J$6:$N$6</c:f>
              <c:numCache>
                <c:formatCode>0.00</c:formatCode>
                <c:ptCount val="5"/>
                <c:pt idx="0">
                  <c:v>7.5451929223744294</c:v>
                </c:pt>
                <c:pt idx="1">
                  <c:v>10.879278538812786</c:v>
                </c:pt>
                <c:pt idx="2">
                  <c:v>16.145232305936073</c:v>
                </c:pt>
                <c:pt idx="3">
                  <c:v>24.451000000000001</c:v>
                </c:pt>
                <c:pt idx="4">
                  <c:v>28.99600970319635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47-4900-B965-4345719F2079}"/>
            </c:ext>
          </c:extLst>
        </c:ser>
        <c:ser>
          <c:idx val="4"/>
          <c:order val="4"/>
          <c:tx>
            <c:strRef>
              <c:f>time!$I$7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time!$J$7:$N$7</c:f>
              <c:numCache>
                <c:formatCode>0.00</c:formatCode>
                <c:ptCount val="5"/>
                <c:pt idx="0">
                  <c:v>5.0723986032769277</c:v>
                </c:pt>
                <c:pt idx="1">
                  <c:v>7.3138006983615362</c:v>
                </c:pt>
                <c:pt idx="2">
                  <c:v>10.853937684662906</c:v>
                </c:pt>
                <c:pt idx="3">
                  <c:v>16.437647058823529</c:v>
                </c:pt>
                <c:pt idx="4">
                  <c:v>19.493115766854686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47-4900-B965-4345719F2079}"/>
            </c:ext>
          </c:extLst>
        </c:ser>
        <c:ser>
          <c:idx val="5"/>
          <c:order val="5"/>
          <c:tx>
            <c:strRef>
              <c:f>time!$I$8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time!$J$8:$N$8</c:f>
              <c:numCache>
                <c:formatCode>0.00</c:formatCode>
                <c:ptCount val="5"/>
                <c:pt idx="0">
                  <c:v>38.80384931506849</c:v>
                </c:pt>
                <c:pt idx="1">
                  <c:v>55.950575342465754</c:v>
                </c:pt>
                <c:pt idx="2">
                  <c:v>83.032623287671242</c:v>
                </c:pt>
                <c:pt idx="3">
                  <c:v>125.748</c:v>
                </c:pt>
                <c:pt idx="4">
                  <c:v>149.12233561643836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47-4900-B965-4345719F2079}"/>
            </c:ext>
          </c:extLst>
        </c:ser>
        <c:ser>
          <c:idx val="6"/>
          <c:order val="6"/>
          <c:tx>
            <c:strRef>
              <c:f>time!$I$9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time!$J$9:$N$9</c:f>
              <c:numCache>
                <c:formatCode>0.00</c:formatCode>
                <c:ptCount val="5"/>
                <c:pt idx="0">
                  <c:v>7.1858980213089803</c:v>
                </c:pt>
                <c:pt idx="1">
                  <c:v>10.361217656012176</c:v>
                </c:pt>
                <c:pt idx="2">
                  <c:v>15.376411719939117</c:v>
                </c:pt>
                <c:pt idx="3">
                  <c:v>23.286666666666665</c:v>
                </c:pt>
                <c:pt idx="4">
                  <c:v>27.615247336377472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47-4900-B965-4345719F2079}"/>
            </c:ext>
          </c:extLst>
        </c:ser>
        <c:ser>
          <c:idx val="7"/>
          <c:order val="7"/>
          <c:tx>
            <c:strRef>
              <c:f>time!$I$10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time!$J$2:$N$2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time!$J$10:$N$10</c:f>
              <c:numCache>
                <c:formatCode>0.00</c:formatCode>
                <c:ptCount val="5"/>
                <c:pt idx="0">
                  <c:v>5.7487184170471846</c:v>
                </c:pt>
                <c:pt idx="1">
                  <c:v>8.2889741248097408</c:v>
                </c:pt>
                <c:pt idx="2">
                  <c:v>12.301129375951293</c:v>
                </c:pt>
                <c:pt idx="3">
                  <c:v>18.629333333333335</c:v>
                </c:pt>
                <c:pt idx="4">
                  <c:v>22.092197869101977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47-4900-B965-4345719F2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11099456"/>
        <c:axId val="211100416"/>
      </c:barChart>
      <c:catAx>
        <c:axId val="2110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0416"/>
        <c:crosses val="autoZero"/>
        <c:auto val="1"/>
        <c:lblAlgn val="ctr"/>
        <c:lblOffset val="100"/>
        <c:noMultiLvlLbl val="0"/>
      </c:catAx>
      <c:valAx>
        <c:axId val="2111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9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time!$A$3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time!$B$3:$F$3</c:f>
              <c:numCache>
                <c:formatCode>General</c:formatCode>
                <c:ptCount val="5"/>
                <c:pt idx="0">
                  <c:v>113307.23999999999</c:v>
                </c:pt>
                <c:pt idx="1">
                  <c:v>163375.68000000002</c:v>
                </c:pt>
                <c:pt idx="2">
                  <c:v>242455.26</c:v>
                </c:pt>
                <c:pt idx="3">
                  <c:v>367184.16000000003</c:v>
                </c:pt>
                <c:pt idx="4">
                  <c:v>435437.22000000003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0-4127-BB34-07046AB2019B}"/>
            </c:ext>
          </c:extLst>
        </c:ser>
        <c:ser>
          <c:idx val="1"/>
          <c:order val="1"/>
          <c:tx>
            <c:strRef>
              <c:f>time!$A$4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time!$B$4:$F$4</c:f>
              <c:numCache>
                <c:formatCode>General</c:formatCode>
                <c:ptCount val="5"/>
                <c:pt idx="0">
                  <c:v>37769.08</c:v>
                </c:pt>
                <c:pt idx="1">
                  <c:v>54458.559999999998</c:v>
                </c:pt>
                <c:pt idx="2">
                  <c:v>80818.42</c:v>
                </c:pt>
                <c:pt idx="3">
                  <c:v>122394.72</c:v>
                </c:pt>
                <c:pt idx="4">
                  <c:v>145145.74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0-4127-BB34-07046AB2019B}"/>
            </c:ext>
          </c:extLst>
        </c:ser>
        <c:ser>
          <c:idx val="2"/>
          <c:order val="2"/>
          <c:tx>
            <c:strRef>
              <c:f>time!$A$5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time!$B$5:$F$5</c:f>
              <c:numCache>
                <c:formatCode>General</c:formatCode>
                <c:ptCount val="5"/>
                <c:pt idx="0">
                  <c:v>37769.08</c:v>
                </c:pt>
                <c:pt idx="1">
                  <c:v>54458.559999999998</c:v>
                </c:pt>
                <c:pt idx="2">
                  <c:v>80818.42</c:v>
                </c:pt>
                <c:pt idx="3">
                  <c:v>122394.72</c:v>
                </c:pt>
                <c:pt idx="4">
                  <c:v>145145.74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0-4127-BB34-07046AB2019B}"/>
            </c:ext>
          </c:extLst>
        </c:ser>
        <c:ser>
          <c:idx val="3"/>
          <c:order val="3"/>
          <c:tx>
            <c:strRef>
              <c:f>time!$A$6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time!$B$6:$F$6</c:f>
              <c:numCache>
                <c:formatCode>General</c:formatCode>
                <c:ptCount val="5"/>
                <c:pt idx="0">
                  <c:v>26438.356</c:v>
                </c:pt>
                <c:pt idx="1">
                  <c:v>38120.991999999998</c:v>
                </c:pt>
                <c:pt idx="2">
                  <c:v>56572.894</c:v>
                </c:pt>
                <c:pt idx="3">
                  <c:v>85676.304000000004</c:v>
                </c:pt>
                <c:pt idx="4">
                  <c:v>101602.01800000001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70-4127-BB34-07046AB2019B}"/>
            </c:ext>
          </c:extLst>
        </c:ser>
        <c:ser>
          <c:idx val="4"/>
          <c:order val="4"/>
          <c:tx>
            <c:strRef>
              <c:f>time!$A$7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time!$B$7:$F$7</c:f>
              <c:numCache>
                <c:formatCode>General</c:formatCode>
                <c:ptCount val="5"/>
                <c:pt idx="0">
                  <c:v>37769.08</c:v>
                </c:pt>
                <c:pt idx="1">
                  <c:v>54458.559999999998</c:v>
                </c:pt>
                <c:pt idx="2">
                  <c:v>80818.42</c:v>
                </c:pt>
                <c:pt idx="3">
                  <c:v>122394.72</c:v>
                </c:pt>
                <c:pt idx="4">
                  <c:v>145145.74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70-4127-BB34-07046AB2019B}"/>
            </c:ext>
          </c:extLst>
        </c:ser>
        <c:ser>
          <c:idx val="5"/>
          <c:order val="5"/>
          <c:tx>
            <c:strRef>
              <c:f>time!$A$8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time!$B$8:$F$8</c:f>
              <c:numCache>
                <c:formatCode>General</c:formatCode>
                <c:ptCount val="5"/>
                <c:pt idx="0">
                  <c:v>67984.343999999997</c:v>
                </c:pt>
                <c:pt idx="1">
                  <c:v>98025.407999999996</c:v>
                </c:pt>
                <c:pt idx="2">
                  <c:v>145473.15600000002</c:v>
                </c:pt>
                <c:pt idx="3">
                  <c:v>220310.49600000001</c:v>
                </c:pt>
                <c:pt idx="4">
                  <c:v>261262.33199999999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70-4127-BB34-07046AB2019B}"/>
            </c:ext>
          </c:extLst>
        </c:ser>
        <c:ser>
          <c:idx val="6"/>
          <c:order val="6"/>
          <c:tx>
            <c:strRef>
              <c:f>time!$A$9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time!$B$9:$F$9</c:f>
              <c:numCache>
                <c:formatCode>General</c:formatCode>
                <c:ptCount val="5"/>
                <c:pt idx="0">
                  <c:v>18884.54</c:v>
                </c:pt>
                <c:pt idx="1">
                  <c:v>27229.279999999999</c:v>
                </c:pt>
                <c:pt idx="2">
                  <c:v>40409.21</c:v>
                </c:pt>
                <c:pt idx="3">
                  <c:v>61197.36</c:v>
                </c:pt>
                <c:pt idx="4">
                  <c:v>72572.87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70-4127-BB34-07046AB2019B}"/>
            </c:ext>
          </c:extLst>
        </c:ser>
        <c:ser>
          <c:idx val="7"/>
          <c:order val="7"/>
          <c:tx>
            <c:strRef>
              <c:f>time!$A$10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time!$B$2:$F$2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2047</c:v>
                </c:pt>
              </c:numCache>
            </c:numRef>
          </c:cat>
          <c:val>
            <c:numRef>
              <c:f>time!$B$10:$F$10</c:f>
              <c:numCache>
                <c:formatCode>General</c:formatCode>
                <c:ptCount val="5"/>
                <c:pt idx="0">
                  <c:v>37769.08</c:v>
                </c:pt>
                <c:pt idx="1">
                  <c:v>54458.559999999998</c:v>
                </c:pt>
                <c:pt idx="2">
                  <c:v>80818.42</c:v>
                </c:pt>
                <c:pt idx="3">
                  <c:v>122394.72</c:v>
                </c:pt>
                <c:pt idx="4">
                  <c:v>145145.74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70-4127-BB34-07046AB20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507872000"/>
        <c:axId val="507872960"/>
      </c:barChart>
      <c:catAx>
        <c:axId val="5078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72960"/>
        <c:crosses val="autoZero"/>
        <c:auto val="1"/>
        <c:lblAlgn val="ctr"/>
        <c:lblOffset val="100"/>
        <c:noMultiLvlLbl val="0"/>
      </c:catAx>
      <c:valAx>
        <c:axId val="5078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sensitivity!$A$3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sensitivity!$B$3:$F$3</c:f>
              <c:numCache>
                <c:formatCode>General</c:formatCode>
                <c:ptCount val="5"/>
                <c:pt idx="0">
                  <c:v>493407.402</c:v>
                </c:pt>
                <c:pt idx="1">
                  <c:v>493407.402</c:v>
                </c:pt>
                <c:pt idx="2">
                  <c:v>493407.402</c:v>
                </c:pt>
                <c:pt idx="3">
                  <c:v>493407.402</c:v>
                </c:pt>
                <c:pt idx="4">
                  <c:v>493407.402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2-4557-97A2-86E83C2E31A8}"/>
            </c:ext>
          </c:extLst>
        </c:ser>
        <c:ser>
          <c:idx val="1"/>
          <c:order val="1"/>
          <c:tx>
            <c:strRef>
              <c:f>sensitivity!$A$4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sensitivity!$B$4:$F$4</c:f>
              <c:numCache>
                <c:formatCode>General</c:formatCode>
                <c:ptCount val="5"/>
                <c:pt idx="0">
                  <c:v>164469.13400000002</c:v>
                </c:pt>
                <c:pt idx="1">
                  <c:v>164469.13400000002</c:v>
                </c:pt>
                <c:pt idx="2">
                  <c:v>164469.13400000002</c:v>
                </c:pt>
                <c:pt idx="3">
                  <c:v>164469.13400000002</c:v>
                </c:pt>
                <c:pt idx="4">
                  <c:v>164469.13400000002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2-4557-97A2-86E83C2E31A8}"/>
            </c:ext>
          </c:extLst>
        </c:ser>
        <c:ser>
          <c:idx val="2"/>
          <c:order val="2"/>
          <c:tx>
            <c:strRef>
              <c:f>sensitivity!$A$5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sensitivity!$B$5:$F$5</c:f>
              <c:numCache>
                <c:formatCode>General</c:formatCode>
                <c:ptCount val="5"/>
                <c:pt idx="0">
                  <c:v>164469.13400000002</c:v>
                </c:pt>
                <c:pt idx="1">
                  <c:v>164469.13400000002</c:v>
                </c:pt>
                <c:pt idx="2">
                  <c:v>164469.13400000002</c:v>
                </c:pt>
                <c:pt idx="3">
                  <c:v>164469.13400000002</c:v>
                </c:pt>
                <c:pt idx="4">
                  <c:v>164469.13400000002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2-4557-97A2-86E83C2E31A8}"/>
            </c:ext>
          </c:extLst>
        </c:ser>
        <c:ser>
          <c:idx val="3"/>
          <c:order val="3"/>
          <c:tx>
            <c:strRef>
              <c:f>sensitivity!$A$6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sensitivity!$B$6:$F$6</c:f>
              <c:numCache>
                <c:formatCode>General</c:formatCode>
                <c:ptCount val="5"/>
                <c:pt idx="0">
                  <c:v>115128.39380000002</c:v>
                </c:pt>
                <c:pt idx="1">
                  <c:v>115128.39380000002</c:v>
                </c:pt>
                <c:pt idx="2">
                  <c:v>115128.39380000002</c:v>
                </c:pt>
                <c:pt idx="3">
                  <c:v>115128.39380000002</c:v>
                </c:pt>
                <c:pt idx="4">
                  <c:v>115128.39380000002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2-4557-97A2-86E83C2E31A8}"/>
            </c:ext>
          </c:extLst>
        </c:ser>
        <c:ser>
          <c:idx val="4"/>
          <c:order val="4"/>
          <c:tx>
            <c:strRef>
              <c:f>sensitivity!$A$7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sensitivity!$B$7:$F$7</c:f>
              <c:numCache>
                <c:formatCode>General</c:formatCode>
                <c:ptCount val="5"/>
                <c:pt idx="0">
                  <c:v>164469.13400000002</c:v>
                </c:pt>
                <c:pt idx="1">
                  <c:v>164469.13400000002</c:v>
                </c:pt>
                <c:pt idx="2">
                  <c:v>164469.13400000002</c:v>
                </c:pt>
                <c:pt idx="3">
                  <c:v>164469.13400000002</c:v>
                </c:pt>
                <c:pt idx="4">
                  <c:v>164469.13400000002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2-4557-97A2-86E83C2E31A8}"/>
            </c:ext>
          </c:extLst>
        </c:ser>
        <c:ser>
          <c:idx val="5"/>
          <c:order val="5"/>
          <c:tx>
            <c:strRef>
              <c:f>sensitivity!$A$8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sensitivity!$B$8:$F$8</c:f>
              <c:numCache>
                <c:formatCode>General</c:formatCode>
                <c:ptCount val="5"/>
                <c:pt idx="0">
                  <c:v>82234.56700000001</c:v>
                </c:pt>
                <c:pt idx="1">
                  <c:v>296044.4412</c:v>
                </c:pt>
                <c:pt idx="2">
                  <c:v>296044.4412</c:v>
                </c:pt>
                <c:pt idx="3">
                  <c:v>296044.4412</c:v>
                </c:pt>
                <c:pt idx="4">
                  <c:v>296044.4412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A2-4557-97A2-86E83C2E31A8}"/>
            </c:ext>
          </c:extLst>
        </c:ser>
        <c:ser>
          <c:idx val="6"/>
          <c:order val="6"/>
          <c:tx>
            <c:strRef>
              <c:f>sensitivity!$A$9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sensitivity!$B$9:$F$9</c:f>
              <c:numCache>
                <c:formatCode>General</c:formatCode>
                <c:ptCount val="5"/>
                <c:pt idx="0">
                  <c:v>296044.4412</c:v>
                </c:pt>
                <c:pt idx="1">
                  <c:v>82234.56700000001</c:v>
                </c:pt>
                <c:pt idx="2">
                  <c:v>82234.56700000001</c:v>
                </c:pt>
                <c:pt idx="3">
                  <c:v>82234.56700000001</c:v>
                </c:pt>
                <c:pt idx="4">
                  <c:v>82234.56700000001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A2-4557-97A2-86E83C2E31A8}"/>
            </c:ext>
          </c:extLst>
        </c:ser>
        <c:ser>
          <c:idx val="7"/>
          <c:order val="7"/>
          <c:tx>
            <c:strRef>
              <c:f>sensitivity!$A$10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sensitivity!$B$2:$F$2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sensitivity!$B$10:$F$10</c:f>
              <c:numCache>
                <c:formatCode>General</c:formatCode>
                <c:ptCount val="5"/>
                <c:pt idx="0">
                  <c:v>164469.13400000002</c:v>
                </c:pt>
                <c:pt idx="1">
                  <c:v>164469.13400000002</c:v>
                </c:pt>
                <c:pt idx="2">
                  <c:v>164469.13400000002</c:v>
                </c:pt>
                <c:pt idx="3">
                  <c:v>164469.13400000002</c:v>
                </c:pt>
                <c:pt idx="4">
                  <c:v>164469.13400000002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A2-4557-97A2-86E83C2E3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7011088"/>
        <c:axId val="437015888"/>
      </c:barChart>
      <c:catAx>
        <c:axId val="43701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15888"/>
        <c:crosses val="autoZero"/>
        <c:auto val="1"/>
        <c:lblAlgn val="ctr"/>
        <c:lblOffset val="100"/>
        <c:noMultiLvlLbl val="0"/>
      </c:catAx>
      <c:valAx>
        <c:axId val="43701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01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sensitivity!$I$3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sensitivity!$J$3:$N$3</c:f>
              <c:numCache>
                <c:formatCode>0.00</c:formatCode>
                <c:ptCount val="5"/>
                <c:pt idx="0">
                  <c:v>80.464351272015662</c:v>
                </c:pt>
                <c:pt idx="1">
                  <c:v>80.464351272015662</c:v>
                </c:pt>
                <c:pt idx="2">
                  <c:v>80.464351272015662</c:v>
                </c:pt>
                <c:pt idx="3">
                  <c:v>80.464351272015662</c:v>
                </c:pt>
                <c:pt idx="4">
                  <c:v>80.464351272015662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C-4F59-9D42-FDA3EF68D02D}"/>
            </c:ext>
          </c:extLst>
        </c:ser>
        <c:ser>
          <c:idx val="1"/>
          <c:order val="1"/>
          <c:tx>
            <c:strRef>
              <c:f>sensitivity!$I$4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sensitivity!$J$4:$N$4</c:f>
              <c:numCache>
                <c:formatCode>0.00</c:formatCode>
                <c:ptCount val="5"/>
                <c:pt idx="0">
                  <c:v>125.16676864535771</c:v>
                </c:pt>
                <c:pt idx="1">
                  <c:v>125.16676864535771</c:v>
                </c:pt>
                <c:pt idx="2">
                  <c:v>125.16676864535771</c:v>
                </c:pt>
                <c:pt idx="3">
                  <c:v>125.16676864535771</c:v>
                </c:pt>
                <c:pt idx="4">
                  <c:v>125.16676864535771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C-4F59-9D42-FDA3EF68D02D}"/>
            </c:ext>
          </c:extLst>
        </c:ser>
        <c:ser>
          <c:idx val="2"/>
          <c:order val="2"/>
          <c:tx>
            <c:strRef>
              <c:f>sensitivity!$I$5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sensitivity!$J$5:$N$5</c:f>
              <c:numCache>
                <c:formatCode>0.00</c:formatCode>
                <c:ptCount val="5"/>
                <c:pt idx="0">
                  <c:v>46.93753824200914</c:v>
                </c:pt>
                <c:pt idx="1">
                  <c:v>46.93753824200914</c:v>
                </c:pt>
                <c:pt idx="2">
                  <c:v>46.93753824200914</c:v>
                </c:pt>
                <c:pt idx="3">
                  <c:v>46.93753824200914</c:v>
                </c:pt>
                <c:pt idx="4">
                  <c:v>46.93753824200914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0C-4F59-9D42-FDA3EF68D02D}"/>
            </c:ext>
          </c:extLst>
        </c:ser>
        <c:ser>
          <c:idx val="3"/>
          <c:order val="3"/>
          <c:tx>
            <c:strRef>
              <c:f>sensitivity!$I$6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sensitivity!$J$6:$N$6</c:f>
              <c:numCache>
                <c:formatCode>0.00</c:formatCode>
                <c:ptCount val="5"/>
                <c:pt idx="0">
                  <c:v>32.856276769406399</c:v>
                </c:pt>
                <c:pt idx="1">
                  <c:v>32.856276769406399</c:v>
                </c:pt>
                <c:pt idx="2">
                  <c:v>32.856276769406399</c:v>
                </c:pt>
                <c:pt idx="3">
                  <c:v>32.856276769406399</c:v>
                </c:pt>
                <c:pt idx="4">
                  <c:v>32.856276769406399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0C-4F59-9D42-FDA3EF68D02D}"/>
            </c:ext>
          </c:extLst>
        </c:ser>
        <c:ser>
          <c:idx val="4"/>
          <c:order val="4"/>
          <c:tx>
            <c:strRef>
              <c:f>sensitivity!$I$7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sensitivity!$J$7:$N$7</c:f>
              <c:numCache>
                <c:formatCode>0.00</c:formatCode>
                <c:ptCount val="5"/>
                <c:pt idx="0">
                  <c:v>22.08825329035724</c:v>
                </c:pt>
                <c:pt idx="1">
                  <c:v>22.08825329035724</c:v>
                </c:pt>
                <c:pt idx="2">
                  <c:v>22.08825329035724</c:v>
                </c:pt>
                <c:pt idx="3">
                  <c:v>22.08825329035724</c:v>
                </c:pt>
                <c:pt idx="4">
                  <c:v>22.08825329035724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0C-4F59-9D42-FDA3EF68D02D}"/>
            </c:ext>
          </c:extLst>
        </c:ser>
        <c:ser>
          <c:idx val="5"/>
          <c:order val="5"/>
          <c:tx>
            <c:strRef>
              <c:f>sensitivity!$I$8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sensitivity!$J$8:$N$8</c:f>
              <c:numCache>
                <c:formatCode>0.00</c:formatCode>
                <c:ptCount val="5"/>
                <c:pt idx="0">
                  <c:v>46.93753824200914</c:v>
                </c:pt>
                <c:pt idx="1">
                  <c:v>168.97513767123289</c:v>
                </c:pt>
                <c:pt idx="2">
                  <c:v>168.97513767123289</c:v>
                </c:pt>
                <c:pt idx="3">
                  <c:v>168.97513767123289</c:v>
                </c:pt>
                <c:pt idx="4">
                  <c:v>168.97513767123289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0C-4F59-9D42-FDA3EF68D02D}"/>
            </c:ext>
          </c:extLst>
        </c:ser>
        <c:ser>
          <c:idx val="6"/>
          <c:order val="6"/>
          <c:tx>
            <c:strRef>
              <c:f>sensitivity!$I$9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sensitivity!$J$9:$N$9</c:f>
              <c:numCache>
                <c:formatCode>0.00</c:formatCode>
                <c:ptCount val="5"/>
                <c:pt idx="0">
                  <c:v>112.65009178082192</c:v>
                </c:pt>
                <c:pt idx="1">
                  <c:v>31.291692161339427</c:v>
                </c:pt>
                <c:pt idx="2">
                  <c:v>31.291692161339427</c:v>
                </c:pt>
                <c:pt idx="3">
                  <c:v>31.291692161339427</c:v>
                </c:pt>
                <c:pt idx="4">
                  <c:v>31.291692161339427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0C-4F59-9D42-FDA3EF68D02D}"/>
            </c:ext>
          </c:extLst>
        </c:ser>
        <c:ser>
          <c:idx val="7"/>
          <c:order val="7"/>
          <c:tx>
            <c:strRef>
              <c:f>sensitivity!$I$10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sensitivity!$J$2:$N$2</c:f>
              <c:strCache>
                <c:ptCount val="5"/>
                <c:pt idx="0">
                  <c:v>λ=0     </c:v>
                </c:pt>
                <c:pt idx="1">
                  <c:v>λ=0.25   </c:v>
                </c:pt>
                <c:pt idx="2">
                  <c:v>  λ=0.5     </c:v>
                </c:pt>
                <c:pt idx="3">
                  <c:v>λ=0.75   </c:v>
                </c:pt>
                <c:pt idx="4">
                  <c:v>  λ=1</c:v>
                </c:pt>
              </c:strCache>
            </c:strRef>
          </c:cat>
          <c:val>
            <c:numRef>
              <c:f>sensitivity!$J$10:$N$10</c:f>
              <c:numCache>
                <c:formatCode>0.00</c:formatCode>
                <c:ptCount val="5"/>
                <c:pt idx="0">
                  <c:v>25.033353729071539</c:v>
                </c:pt>
                <c:pt idx="1">
                  <c:v>25.033353729071539</c:v>
                </c:pt>
                <c:pt idx="2">
                  <c:v>25.033353729071539</c:v>
                </c:pt>
                <c:pt idx="3">
                  <c:v>25.033353729071539</c:v>
                </c:pt>
                <c:pt idx="4">
                  <c:v>25.033353729071539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0C-4F59-9D42-FDA3EF68D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506235408"/>
        <c:axId val="506234448"/>
      </c:barChart>
      <c:catAx>
        <c:axId val="50623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34448"/>
        <c:crosses val="autoZero"/>
        <c:auto val="1"/>
        <c:lblAlgn val="ctr"/>
        <c:lblOffset val="100"/>
        <c:noMultiLvlLbl val="0"/>
      </c:catAx>
      <c:valAx>
        <c:axId val="5062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35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scenarios!$A$3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scenarios!$B$3:$D$3</c:f>
              <c:numCache>
                <c:formatCode>General</c:formatCode>
                <c:ptCount val="3"/>
                <c:pt idx="0">
                  <c:v>287479.64400000003</c:v>
                </c:pt>
                <c:pt idx="1">
                  <c:v>493407.402</c:v>
                </c:pt>
                <c:pt idx="2">
                  <c:v>1017315.642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A-4713-B80C-3F0546D5C6CF}"/>
            </c:ext>
          </c:extLst>
        </c:ser>
        <c:ser>
          <c:idx val="1"/>
          <c:order val="1"/>
          <c:tx>
            <c:strRef>
              <c:f>scenarios!$A$4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scenarios!$B$4:$D$4</c:f>
              <c:numCache>
                <c:formatCode>General</c:formatCode>
                <c:ptCount val="3"/>
                <c:pt idx="0">
                  <c:v>95826.54800000001</c:v>
                </c:pt>
                <c:pt idx="1">
                  <c:v>164469.13400000002</c:v>
                </c:pt>
                <c:pt idx="2">
                  <c:v>339105.21400000004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A-4713-B80C-3F0546D5C6CF}"/>
            </c:ext>
          </c:extLst>
        </c:ser>
        <c:ser>
          <c:idx val="2"/>
          <c:order val="2"/>
          <c:tx>
            <c:strRef>
              <c:f>scenarios!$A$5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scenarios!$B$5:$D$5</c:f>
              <c:numCache>
                <c:formatCode>General</c:formatCode>
                <c:ptCount val="3"/>
                <c:pt idx="0">
                  <c:v>95826.54800000001</c:v>
                </c:pt>
                <c:pt idx="1">
                  <c:v>164469.13400000002</c:v>
                </c:pt>
                <c:pt idx="2">
                  <c:v>339105.21400000004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A-4713-B80C-3F0546D5C6CF}"/>
            </c:ext>
          </c:extLst>
        </c:ser>
        <c:ser>
          <c:idx val="3"/>
          <c:order val="3"/>
          <c:tx>
            <c:strRef>
              <c:f>scenarios!$A$6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scenarios!$B$6:$D$6</c:f>
              <c:numCache>
                <c:formatCode>General</c:formatCode>
                <c:ptCount val="3"/>
                <c:pt idx="0">
                  <c:v>67078.583599999998</c:v>
                </c:pt>
                <c:pt idx="1">
                  <c:v>115128.39380000002</c:v>
                </c:pt>
                <c:pt idx="2">
                  <c:v>237373.64980000001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8A-4713-B80C-3F0546D5C6CF}"/>
            </c:ext>
          </c:extLst>
        </c:ser>
        <c:ser>
          <c:idx val="4"/>
          <c:order val="4"/>
          <c:tx>
            <c:strRef>
              <c:f>scenarios!$A$7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scenarios!$B$7:$D$7</c:f>
              <c:numCache>
                <c:formatCode>General</c:formatCode>
                <c:ptCount val="3"/>
                <c:pt idx="0">
                  <c:v>95826.54800000001</c:v>
                </c:pt>
                <c:pt idx="1">
                  <c:v>164469.13400000002</c:v>
                </c:pt>
                <c:pt idx="2">
                  <c:v>339105.21400000004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8A-4713-B80C-3F0546D5C6CF}"/>
            </c:ext>
          </c:extLst>
        </c:ser>
        <c:ser>
          <c:idx val="5"/>
          <c:order val="5"/>
          <c:tx>
            <c:strRef>
              <c:f>scenarios!$A$8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scenarios!$B$8:$D$8</c:f>
              <c:numCache>
                <c:formatCode>General</c:formatCode>
                <c:ptCount val="3"/>
                <c:pt idx="0">
                  <c:v>172487.78640000001</c:v>
                </c:pt>
                <c:pt idx="1">
                  <c:v>296044.4412</c:v>
                </c:pt>
                <c:pt idx="2">
                  <c:v>610389.38520000002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8A-4713-B80C-3F0546D5C6CF}"/>
            </c:ext>
          </c:extLst>
        </c:ser>
        <c:ser>
          <c:idx val="6"/>
          <c:order val="6"/>
          <c:tx>
            <c:strRef>
              <c:f>scenarios!$A$9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scenarios!$B$9:$D$9</c:f>
              <c:numCache>
                <c:formatCode>General</c:formatCode>
                <c:ptCount val="3"/>
                <c:pt idx="0">
                  <c:v>47913.274000000005</c:v>
                </c:pt>
                <c:pt idx="1">
                  <c:v>82234.56700000001</c:v>
                </c:pt>
                <c:pt idx="2">
                  <c:v>169552.60700000002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8A-4713-B80C-3F0546D5C6CF}"/>
            </c:ext>
          </c:extLst>
        </c:ser>
        <c:ser>
          <c:idx val="7"/>
          <c:order val="7"/>
          <c:tx>
            <c:strRef>
              <c:f>scenarios!$A$10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scenarios!$B$2:$D$2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scenarios!$B$10:$D$10</c:f>
              <c:numCache>
                <c:formatCode>General</c:formatCode>
                <c:ptCount val="3"/>
                <c:pt idx="0">
                  <c:v>95826.54800000001</c:v>
                </c:pt>
                <c:pt idx="1">
                  <c:v>164469.13400000002</c:v>
                </c:pt>
                <c:pt idx="2">
                  <c:v>339105.21400000004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8A-4713-B80C-3F0546D5C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35550976"/>
        <c:axId val="135548576"/>
      </c:barChart>
      <c:catAx>
        <c:axId val="1355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8576"/>
        <c:crosses val="autoZero"/>
        <c:auto val="1"/>
        <c:lblAlgn val="ctr"/>
        <c:lblOffset val="100"/>
        <c:noMultiLvlLbl val="0"/>
      </c:catAx>
      <c:valAx>
        <c:axId val="1355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5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scenarios!$B$2</c:f>
              <c:strCache>
                <c:ptCount val="1"/>
                <c:pt idx="0">
                  <c:v>Worst Case, λ=0.5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scenarios!$A$3:$A$10</c:f>
              <c:strCache>
                <c:ptCount val="8"/>
                <c:pt idx="0">
                  <c:v>Coal</c:v>
                </c:pt>
                <c:pt idx="1">
                  <c:v>Oil</c:v>
                </c:pt>
                <c:pt idx="2">
                  <c:v>Natural Gas</c:v>
                </c:pt>
                <c:pt idx="3">
                  <c:v>Hydro</c:v>
                </c:pt>
                <c:pt idx="4">
                  <c:v>Nuclear</c:v>
                </c:pt>
                <c:pt idx="5">
                  <c:v>Solar</c:v>
                </c:pt>
                <c:pt idx="6">
                  <c:v>Wind</c:v>
                </c:pt>
                <c:pt idx="7">
                  <c:v>Biomass</c:v>
                </c:pt>
              </c:strCache>
            </c:strRef>
          </c:cat>
          <c:val>
            <c:numRef>
              <c:f>scenarios!$B$3:$B$10</c:f>
              <c:numCache>
                <c:formatCode>General</c:formatCode>
                <c:ptCount val="8"/>
                <c:pt idx="0">
                  <c:v>287479.64400000003</c:v>
                </c:pt>
                <c:pt idx="1">
                  <c:v>95826.54800000001</c:v>
                </c:pt>
                <c:pt idx="2">
                  <c:v>95826.54800000001</c:v>
                </c:pt>
                <c:pt idx="3">
                  <c:v>67078.583599999998</c:v>
                </c:pt>
                <c:pt idx="4">
                  <c:v>95826.54800000001</c:v>
                </c:pt>
                <c:pt idx="5">
                  <c:v>172487.78640000001</c:v>
                </c:pt>
                <c:pt idx="6">
                  <c:v>47913.274000000005</c:v>
                </c:pt>
                <c:pt idx="7">
                  <c:v>95826.54800000001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4-4297-9C09-9945E48987A8}"/>
            </c:ext>
          </c:extLst>
        </c:ser>
        <c:ser>
          <c:idx val="1"/>
          <c:order val="1"/>
          <c:tx>
            <c:strRef>
              <c:f>scenarios!$C$2</c:f>
              <c:strCache>
                <c:ptCount val="1"/>
                <c:pt idx="0">
                  <c:v> Baseline,  λ=0.5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scenarios!$A$3:$A$10</c:f>
              <c:strCache>
                <c:ptCount val="8"/>
                <c:pt idx="0">
                  <c:v>Coal</c:v>
                </c:pt>
                <c:pt idx="1">
                  <c:v>Oil</c:v>
                </c:pt>
                <c:pt idx="2">
                  <c:v>Natural Gas</c:v>
                </c:pt>
                <c:pt idx="3">
                  <c:v>Hydro</c:v>
                </c:pt>
                <c:pt idx="4">
                  <c:v>Nuclear</c:v>
                </c:pt>
                <c:pt idx="5">
                  <c:v>Solar</c:v>
                </c:pt>
                <c:pt idx="6">
                  <c:v>Wind</c:v>
                </c:pt>
                <c:pt idx="7">
                  <c:v>Biomass</c:v>
                </c:pt>
              </c:strCache>
            </c:strRef>
          </c:cat>
          <c:val>
            <c:numRef>
              <c:f>scenarios!$C$3:$C$10</c:f>
              <c:numCache>
                <c:formatCode>General</c:formatCode>
                <c:ptCount val="8"/>
                <c:pt idx="0">
                  <c:v>493407.402</c:v>
                </c:pt>
                <c:pt idx="1">
                  <c:v>164469.13400000002</c:v>
                </c:pt>
                <c:pt idx="2">
                  <c:v>164469.13400000002</c:v>
                </c:pt>
                <c:pt idx="3">
                  <c:v>115128.39380000002</c:v>
                </c:pt>
                <c:pt idx="4">
                  <c:v>164469.13400000002</c:v>
                </c:pt>
                <c:pt idx="5">
                  <c:v>296044.4412</c:v>
                </c:pt>
                <c:pt idx="6">
                  <c:v>82234.56700000001</c:v>
                </c:pt>
                <c:pt idx="7">
                  <c:v>164469.13400000002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4-4297-9C09-9945E48987A8}"/>
            </c:ext>
          </c:extLst>
        </c:ser>
        <c:ser>
          <c:idx val="2"/>
          <c:order val="2"/>
          <c:tx>
            <c:strRef>
              <c:f>scenarios!$D$2</c:f>
              <c:strCache>
                <c:ptCount val="1"/>
                <c:pt idx="0">
                  <c:v> BestCase, λ=0.5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scenarios!$A$3:$A$10</c:f>
              <c:strCache>
                <c:ptCount val="8"/>
                <c:pt idx="0">
                  <c:v>Coal</c:v>
                </c:pt>
                <c:pt idx="1">
                  <c:v>Oil</c:v>
                </c:pt>
                <c:pt idx="2">
                  <c:v>Natural Gas</c:v>
                </c:pt>
                <c:pt idx="3">
                  <c:v>Hydro</c:v>
                </c:pt>
                <c:pt idx="4">
                  <c:v>Nuclear</c:v>
                </c:pt>
                <c:pt idx="5">
                  <c:v>Solar</c:v>
                </c:pt>
                <c:pt idx="6">
                  <c:v>Wind</c:v>
                </c:pt>
                <c:pt idx="7">
                  <c:v>Biomass</c:v>
                </c:pt>
              </c:strCache>
            </c:strRef>
          </c:cat>
          <c:val>
            <c:numRef>
              <c:f>scenarios!$D$3:$D$10</c:f>
              <c:numCache>
                <c:formatCode>General</c:formatCode>
                <c:ptCount val="8"/>
                <c:pt idx="0">
                  <c:v>1017315.642</c:v>
                </c:pt>
                <c:pt idx="1">
                  <c:v>339105.21400000004</c:v>
                </c:pt>
                <c:pt idx="2">
                  <c:v>339105.21400000004</c:v>
                </c:pt>
                <c:pt idx="3">
                  <c:v>237373.64980000001</c:v>
                </c:pt>
                <c:pt idx="4">
                  <c:v>339105.21400000004</c:v>
                </c:pt>
                <c:pt idx="5">
                  <c:v>610389.38520000002</c:v>
                </c:pt>
                <c:pt idx="6">
                  <c:v>169552.60700000002</c:v>
                </c:pt>
                <c:pt idx="7">
                  <c:v>339105.21400000004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4-4297-9C09-9945E4898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4667424"/>
        <c:axId val="664668384"/>
      </c:barChart>
      <c:catAx>
        <c:axId val="66466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68384"/>
        <c:crosses val="autoZero"/>
        <c:auto val="1"/>
        <c:lblAlgn val="ctr"/>
        <c:lblOffset val="100"/>
        <c:noMultiLvlLbl val="0"/>
      </c:catAx>
      <c:valAx>
        <c:axId val="6646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6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scenarios!$G$3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scenarios!$H$3:$J$3</c:f>
              <c:numCache>
                <c:formatCode>0.00</c:formatCode>
                <c:ptCount val="3"/>
                <c:pt idx="0">
                  <c:v>46.881872798434451</c:v>
                </c:pt>
                <c:pt idx="1">
                  <c:v>80.464351272015662</c:v>
                </c:pt>
                <c:pt idx="2">
                  <c:v>165.90274657534249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0-4994-9E28-C5E522F76FD2}"/>
            </c:ext>
          </c:extLst>
        </c:ser>
        <c:ser>
          <c:idx val="1"/>
          <c:order val="1"/>
          <c:tx>
            <c:strRef>
              <c:f>scenarios!$G$4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scenarios!$H$4:$J$4</c:f>
              <c:numCache>
                <c:formatCode>0.00</c:formatCode>
                <c:ptCount val="3"/>
                <c:pt idx="0">
                  <c:v>72.92735768645359</c:v>
                </c:pt>
                <c:pt idx="1">
                  <c:v>125.16676864535771</c:v>
                </c:pt>
                <c:pt idx="2">
                  <c:v>258.07093911719943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0-4994-9E28-C5E522F76FD2}"/>
            </c:ext>
          </c:extLst>
        </c:ser>
        <c:ser>
          <c:idx val="2"/>
          <c:order val="2"/>
          <c:tx>
            <c:strRef>
              <c:f>scenarios!$G$5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scenarios!$H$5:$J$5</c:f>
              <c:numCache>
                <c:formatCode>0.00</c:formatCode>
                <c:ptCount val="3"/>
                <c:pt idx="0">
                  <c:v>27.347759132420094</c:v>
                </c:pt>
                <c:pt idx="1">
                  <c:v>46.93753824200914</c:v>
                </c:pt>
                <c:pt idx="2">
                  <c:v>96.776602168949779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0-4994-9E28-C5E522F76FD2}"/>
            </c:ext>
          </c:extLst>
        </c:ser>
        <c:ser>
          <c:idx val="3"/>
          <c:order val="3"/>
          <c:tx>
            <c:strRef>
              <c:f>scenarios!$G$6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scenarios!$H$6:$J$6</c:f>
              <c:numCache>
                <c:formatCode>0.00</c:formatCode>
                <c:ptCount val="3"/>
                <c:pt idx="0">
                  <c:v>19.143431392694062</c:v>
                </c:pt>
                <c:pt idx="1">
                  <c:v>32.856276769406399</c:v>
                </c:pt>
                <c:pt idx="2">
                  <c:v>67.743621518264845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30-4994-9E28-C5E522F76FD2}"/>
            </c:ext>
          </c:extLst>
        </c:ser>
        <c:ser>
          <c:idx val="4"/>
          <c:order val="4"/>
          <c:tx>
            <c:strRef>
              <c:f>scenarios!$G$7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scenarios!$H$7:$J$7</c:f>
              <c:numCache>
                <c:formatCode>0.00</c:formatCode>
                <c:ptCount val="3"/>
                <c:pt idx="0">
                  <c:v>12.869533709374162</c:v>
                </c:pt>
                <c:pt idx="1">
                  <c:v>22.08825329035724</c:v>
                </c:pt>
                <c:pt idx="2">
                  <c:v>45.541930432446954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30-4994-9E28-C5E522F76FD2}"/>
            </c:ext>
          </c:extLst>
        </c:ser>
        <c:ser>
          <c:idx val="5"/>
          <c:order val="5"/>
          <c:tx>
            <c:strRef>
              <c:f>scenarios!$G$8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scenarios!$H$8:$J$8</c:f>
              <c:numCache>
                <c:formatCode>0.00</c:formatCode>
                <c:ptCount val="3"/>
                <c:pt idx="0">
                  <c:v>98.451932876712334</c:v>
                </c:pt>
                <c:pt idx="1">
                  <c:v>168.97513767123289</c:v>
                </c:pt>
                <c:pt idx="2">
                  <c:v>348.3957678082192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30-4994-9E28-C5E522F76FD2}"/>
            </c:ext>
          </c:extLst>
        </c:ser>
        <c:ser>
          <c:idx val="6"/>
          <c:order val="6"/>
          <c:tx>
            <c:strRef>
              <c:f>scenarios!$G$9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scenarios!$H$9:$J$9</c:f>
              <c:numCache>
                <c:formatCode>0.00</c:formatCode>
                <c:ptCount val="3"/>
                <c:pt idx="0">
                  <c:v>18.231839421613397</c:v>
                </c:pt>
                <c:pt idx="1">
                  <c:v>31.291692161339427</c:v>
                </c:pt>
                <c:pt idx="2">
                  <c:v>64.517734779299857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30-4994-9E28-C5E522F76FD2}"/>
            </c:ext>
          </c:extLst>
        </c:ser>
        <c:ser>
          <c:idx val="7"/>
          <c:order val="7"/>
          <c:tx>
            <c:strRef>
              <c:f>scenarios!$G$10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scenarios!$H$2:$J$2</c:f>
              <c:strCache>
                <c:ptCount val="3"/>
                <c:pt idx="0">
                  <c:v>Worst Case, λ=0.5     </c:v>
                </c:pt>
                <c:pt idx="1">
                  <c:v> Baseline,  λ=0.5     </c:v>
                </c:pt>
                <c:pt idx="2">
                  <c:v> BestCase, λ=0.5</c:v>
                </c:pt>
              </c:strCache>
            </c:strRef>
          </c:cat>
          <c:val>
            <c:numRef>
              <c:f>scenarios!$H$10:$J$10</c:f>
              <c:numCache>
                <c:formatCode>0.00</c:formatCode>
                <c:ptCount val="3"/>
                <c:pt idx="0">
                  <c:v>14.585471537290717</c:v>
                </c:pt>
                <c:pt idx="1">
                  <c:v>25.033353729071539</c:v>
                </c:pt>
                <c:pt idx="2">
                  <c:v>51.614187823439885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30-4994-9E28-C5E522F76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10778832"/>
        <c:axId val="210781712"/>
      </c:barChart>
      <c:catAx>
        <c:axId val="2107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1712"/>
        <c:crosses val="autoZero"/>
        <c:auto val="1"/>
        <c:lblAlgn val="ctr"/>
        <c:lblOffset val="100"/>
        <c:noMultiLvlLbl val="0"/>
      </c:catAx>
      <c:valAx>
        <c:axId val="2107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78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fossil_mtoe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[1]Sheet1!$B$2:$B$8</c:f>
            </c:numRef>
          </c:yVal>
          <c:smooth val="0"/>
          <c:extLst>
            <c:ext xmlns:c16="http://schemas.microsoft.com/office/drawing/2014/chart" uri="{C3380CC4-5D6E-409C-BE32-E72D297353CC}">
              <c16:uniqueId val="{00000000-BFC8-4FFF-A482-306059B7F182}"/>
            </c:ext>
          </c:extLst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non_fossil_mtoe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[1]Sheet1!$C$2:$C$8</c:f>
            </c:numRef>
          </c:yVal>
          <c:smooth val="0"/>
          <c:extLst>
            <c:ext xmlns:c16="http://schemas.microsoft.com/office/drawing/2014/chart" uri="{C3380CC4-5D6E-409C-BE32-E72D297353CC}">
              <c16:uniqueId val="{00000001-BFC8-4FFF-A482-306059B7F182}"/>
            </c:ext>
          </c:extLst>
        </c:ser>
        <c:ser>
          <c:idx val="2"/>
          <c:order val="2"/>
          <c:tx>
            <c:strRef>
              <c:f>[1]Sheet1!$D$1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[1]Sheet1!$D$2:$D$8</c:f>
            </c:numRef>
          </c:yVal>
          <c:smooth val="0"/>
          <c:extLst>
            <c:ext xmlns:c16="http://schemas.microsoft.com/office/drawing/2014/chart" uri="{C3380CC4-5D6E-409C-BE32-E72D297353CC}">
              <c16:uniqueId val="{00000002-BFC8-4FFF-A482-306059B7F182}"/>
            </c:ext>
          </c:extLst>
        </c:ser>
        <c:ser>
          <c:idx val="3"/>
          <c:order val="3"/>
          <c:tx>
            <c:strRef>
              <c:f>[1]Sheet1!$E$1</c:f>
              <c:strCache>
                <c:ptCount val="1"/>
                <c:pt idx="0">
                  <c:v>% fossil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0419947506561679E-3"/>
                  <c:y val="6.90277777777777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[1]Sheet1!$E$2:$E$8</c:f>
              <c:numCache>
                <c:formatCode>General</c:formatCode>
                <c:ptCount val="7"/>
                <c:pt idx="0">
                  <c:v>0.8291108279904793</c:v>
                </c:pt>
                <c:pt idx="1">
                  <c:v>0.8422450529020088</c:v>
                </c:pt>
                <c:pt idx="2">
                  <c:v>0.83073642142310744</c:v>
                </c:pt>
                <c:pt idx="3">
                  <c:v>0.81173150965957919</c:v>
                </c:pt>
                <c:pt idx="4">
                  <c:v>0.81123735868244862</c:v>
                </c:pt>
                <c:pt idx="5">
                  <c:v>0.82596048046578352</c:v>
                </c:pt>
                <c:pt idx="6">
                  <c:v>0.82999889663293802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C8-4FFF-A482-306059B7F182}"/>
            </c:ext>
          </c:extLst>
        </c:ser>
        <c:ser>
          <c:idx val="4"/>
          <c:order val="4"/>
          <c:tx>
            <c:strRef>
              <c:f>[1]Sheet1!$F$1</c:f>
              <c:strCache>
                <c:ptCount val="1"/>
                <c:pt idx="0">
                  <c:v>%Electricty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47244094488189"/>
                  <c:y val="-9.73888159813356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xVal>
          <c:yVal>
            <c:numRef>
              <c:f>[1]Sheet1!$F$2:$F$8</c:f>
              <c:numCache>
                <c:formatCode>General</c:formatCode>
                <c:ptCount val="7"/>
                <c:pt idx="0">
                  <c:v>0.17088917200952067</c:v>
                </c:pt>
                <c:pt idx="1">
                  <c:v>0.1577549470979912</c:v>
                </c:pt>
                <c:pt idx="2">
                  <c:v>0.1692635785768925</c:v>
                </c:pt>
                <c:pt idx="3">
                  <c:v>0.1882684903404209</c:v>
                </c:pt>
                <c:pt idx="4">
                  <c:v>0.18876264131755124</c:v>
                </c:pt>
                <c:pt idx="5">
                  <c:v>0.17403951953421634</c:v>
                </c:pt>
                <c:pt idx="6">
                  <c:v>0.17000110336706181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FC8-4FFF-A482-306059B7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5143216"/>
        <c:axId val="1703939536"/>
      </c:scatterChart>
      <c:valAx>
        <c:axId val="177514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9536"/>
        <c:crosses val="autoZero"/>
        <c:crossBetween val="midCat"/>
      </c:valAx>
      <c:valAx>
        <c:axId val="170393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43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[1]Sheet1!$H$14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[1]Sheet1!$G$15:$G$21</c:f>
              <c:numCache>
                <c:formatCode>General</c:formatCode>
                <c:ptCount val="7"/>
              </c:numCache>
            </c:numRef>
          </c:xVal>
          <c:yVal>
            <c:numRef>
              <c:f>[1]Sheet1!$H$15:$H$21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51-470E-8DFE-C05AC016E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019024"/>
        <c:axId val="1339042064"/>
      </c:scatterChart>
      <c:valAx>
        <c:axId val="133901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42064"/>
        <c:crosses val="autoZero"/>
        <c:crossBetween val="midCat"/>
      </c:valAx>
      <c:valAx>
        <c:axId val="133904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90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  <cx:data id="1">
      <cx:strDim type="cat">
        <cx:f>_xlchart.v1.5</cx:f>
      </cx:strDim>
      <cx:numDim type="size">
        <cx:f>_xlchart.v1.9</cx:f>
      </cx:numDim>
    </cx:data>
  </cx:chartData>
  <cx:chart>
    <cx:plotArea>
      <cx:plotAreaRegion>
        <cx:series layoutId="treemap" uniqueId="{47FCF776-B303-47A1-A79B-C269AD4243C6}" formatIdx="0">
          <cx:tx>
            <cx:txData>
              <cx:f>_xlchart.v1.6</cx:f>
              <cx:v>Worst Case, λ=0.5     </cx:v>
            </cx:txData>
          </cx:tx>
          <cx:spPr>
            <a:ln>
              <a:noFill/>
            </a:ln>
          </cx:spPr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DE290CAB-8058-4020-9C55-E9563E9939A3}" formatIdx="1">
          <cx:tx>
            <cx:txData>
              <cx:f>_xlchart.v1.8</cx:f>
              <cx:v> Baseline,  λ=0.5     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plotArea>
      <cx:plotAreaRegion>
        <cx:series layoutId="treemap" uniqueId="{9899F3F2-D69D-47D7-8220-87CE8F52A6EC}" formatIdx="0">
          <cx:tx>
            <cx:txData>
              <cx:f>_xlchart.v1.1</cx:f>
              <cx:v>Worst Case, λ=0.5     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C69CE34C-6820-4FB4-8A0B-E9985B537C0E}" formatIdx="1">
          <cx:tx>
            <cx:txData>
              <cx:f>_xlchart.v1.3</cx:f>
              <cx:v> Baseline,  λ=0.5     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306132</xdr:colOff>
      <xdr:row>8</xdr:row>
      <xdr:rowOff>162333</xdr:rowOff>
    </xdr:from>
    <xdr:to>
      <xdr:col>27</xdr:col>
      <xdr:colOff>118808</xdr:colOff>
      <xdr:row>35</xdr:row>
      <xdr:rowOff>171860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E5CE21-CB6B-A55A-BC7F-EB5724183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155575</xdr:colOff>
      <xdr:row>15</xdr:row>
      <xdr:rowOff>123824</xdr:rowOff>
    </xdr:from>
    <xdr:to>
      <xdr:col>18</xdr:col>
      <xdr:colOff>203200</xdr:colOff>
      <xdr:row>35</xdr:row>
      <xdr:rowOff>165099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661AED-2D64-253A-B3C5-A1BA0A5B7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11</xdr:row>
      <xdr:rowOff>66675</xdr:rowOff>
    </xdr:from>
    <xdr:to>
      <xdr:col>9</xdr:col>
      <xdr:colOff>428625</xdr:colOff>
      <xdr:row>26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93E70F-7584-F5F5-55B8-1B114719E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301624</xdr:colOff>
      <xdr:row>11</xdr:row>
      <xdr:rowOff>41274</xdr:rowOff>
    </xdr:from>
    <xdr:to>
      <xdr:col>19</xdr:col>
      <xdr:colOff>19049</xdr:colOff>
      <xdr:row>34</xdr:row>
      <xdr:rowOff>126999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13AFA3-1789-2B1B-72BC-FD9A29310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365124</xdr:colOff>
      <xdr:row>11</xdr:row>
      <xdr:rowOff>123824</xdr:rowOff>
    </xdr:from>
    <xdr:to>
      <xdr:col>9</xdr:col>
      <xdr:colOff>146050</xdr:colOff>
      <xdr:row>38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C42259-07FA-93CB-662E-5296E1265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577850</xdr:colOff>
      <xdr:row>20</xdr:row>
      <xdr:rowOff>9525</xdr:rowOff>
    </xdr:from>
    <xdr:to>
      <xdr:col>15</xdr:col>
      <xdr:colOff>276225</xdr:colOff>
      <xdr:row>34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D2C66A-CA32-989A-6306-F1317433F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301625</xdr:colOff>
      <xdr:row>33</xdr:row>
      <xdr:rowOff>174624</xdr:rowOff>
    </xdr:from>
    <xdr:to>
      <xdr:col>14</xdr:col>
      <xdr:colOff>558800</xdr:colOff>
      <xdr:row>61</xdr:row>
      <xdr:rowOff>6349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37E460-52A0-438A-1E19-62A9EE332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98425</xdr:colOff>
      <xdr:row>20</xdr:row>
      <xdr:rowOff>53975</xdr:rowOff>
    </xdr:from>
    <xdr:to>
      <xdr:col>19</xdr:col>
      <xdr:colOff>403225</xdr:colOff>
      <xdr:row>35</xdr:row>
      <xdr:rowOff>34925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5F3E6EC-1CD0-3FB6-2F10-52D4EF599A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3225" y="3413125"/>
              <a:ext cx="3962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73025</xdr:colOff>
      <xdr:row>20</xdr:row>
      <xdr:rowOff>15875</xdr:rowOff>
    </xdr:from>
    <xdr:to>
      <xdr:col>27</xdr:col>
      <xdr:colOff>377825</xdr:colOff>
      <xdr:row>34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A2B9101C-1078-E183-34C2-FF8C705BEA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65025" y="3375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396875</xdr:colOff>
      <xdr:row>2</xdr:row>
      <xdr:rowOff>146050</xdr:rowOff>
    </xdr:from>
    <xdr:to>
      <xdr:col>14</xdr:col>
      <xdr:colOff>92075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6B027-A444-4AA7-8279-EDE629CF2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536575</xdr:colOff>
      <xdr:row>6</xdr:row>
      <xdr:rowOff>44450</xdr:rowOff>
    </xdr:from>
    <xdr:to>
      <xdr:col>19</xdr:col>
      <xdr:colOff>231775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3B040-DB70-42CC-BB01-7F4B8F644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fossil_mtoe</v>
          </cell>
          <cell r="C1" t="str">
            <v>non_fossil_mtoe</v>
          </cell>
          <cell r="D1" t="str">
            <v>Total</v>
          </cell>
          <cell r="E1" t="str">
            <v>% fossil</v>
          </cell>
          <cell r="F1" t="str">
            <v>%Electricty</v>
          </cell>
        </row>
        <row r="2">
          <cell r="A2">
            <v>2016</v>
          </cell>
          <cell r="B2">
            <v>48.043860000000002</v>
          </cell>
          <cell r="C2">
            <v>9.9023859999999999</v>
          </cell>
          <cell r="D2">
            <v>57.946246000000002</v>
          </cell>
          <cell r="E2">
            <v>0.8291108279904793</v>
          </cell>
          <cell r="F2">
            <v>0.17088917200952067</v>
          </cell>
        </row>
        <row r="3">
          <cell r="A3">
            <v>2017</v>
          </cell>
          <cell r="B3">
            <v>53.293460000000003</v>
          </cell>
          <cell r="C3">
            <v>9.9820200000000003</v>
          </cell>
          <cell r="D3">
            <v>63.275480000000002</v>
          </cell>
          <cell r="E3">
            <v>0.8422450529020088</v>
          </cell>
          <cell r="F3">
            <v>0.1577549470979912</v>
          </cell>
        </row>
        <row r="4">
          <cell r="A4">
            <v>2018</v>
          </cell>
          <cell r="B4">
            <v>59.748460000000001</v>
          </cell>
          <cell r="C4">
            <v>12.173823000000001</v>
          </cell>
          <cell r="D4">
            <v>71.922283000000007</v>
          </cell>
          <cell r="E4">
            <v>0.83073642142310744</v>
          </cell>
          <cell r="F4">
            <v>0.1692635785768925</v>
          </cell>
        </row>
        <row r="5">
          <cell r="A5">
            <v>2019</v>
          </cell>
          <cell r="B5">
            <v>57.88776</v>
          </cell>
          <cell r="C5">
            <v>13.426164999999999</v>
          </cell>
          <cell r="D5">
            <v>71.313924999999998</v>
          </cell>
          <cell r="E5">
            <v>0.81173150965957919</v>
          </cell>
          <cell r="F5">
            <v>0.1882684903404209</v>
          </cell>
        </row>
        <row r="6">
          <cell r="A6">
            <v>2020</v>
          </cell>
          <cell r="B6">
            <v>54.769660000000002</v>
          </cell>
          <cell r="C6">
            <v>12.744070000000001</v>
          </cell>
          <cell r="D6">
            <v>67.51373000000001</v>
          </cell>
          <cell r="E6">
            <v>0.81123735868244862</v>
          </cell>
          <cell r="F6">
            <v>0.18876264131755124</v>
          </cell>
        </row>
        <row r="7">
          <cell r="A7">
            <v>2021</v>
          </cell>
          <cell r="B7">
            <v>58.609859999999998</v>
          </cell>
          <cell r="C7">
            <v>12.349781999999999</v>
          </cell>
          <cell r="D7">
            <v>70.959642000000002</v>
          </cell>
          <cell r="E7">
            <v>0.82596048046578352</v>
          </cell>
          <cell r="F7">
            <v>0.17403951953421634</v>
          </cell>
        </row>
        <row r="8">
          <cell r="A8">
            <v>2022</v>
          </cell>
          <cell r="B8">
            <v>58.72</v>
          </cell>
          <cell r="C8">
            <v>12.027082</v>
          </cell>
          <cell r="D8">
            <v>70.747082000000006</v>
          </cell>
          <cell r="E8">
            <v>0.82999889663293802</v>
          </cell>
          <cell r="F8">
            <v>0.17000110336706181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4DBD-E887-46BD-8686-233FF28F2BD8}">
  <dimension ref="A1:N15"/>
  <sheetViews>
    <sheetView topLeftCell="H9" zoomScale="75" workbookViewId="0">
      <selection activeCell="K19" sqref="K19"/>
    </sheetView>
  </sheetViews>
  <sheetFormatPr defaultRowHeight="14.5" x14ac:dyDescent="0.35"/>
  <sheetData>
    <row r="1" spans="1:14" x14ac:dyDescent="0.35">
      <c r="B1" s="18" t="s">
        <v>29</v>
      </c>
      <c r="C1" s="18"/>
      <c r="D1" s="18"/>
      <c r="E1" s="18"/>
      <c r="F1" s="18"/>
      <c r="J1" s="18" t="s">
        <v>28</v>
      </c>
      <c r="K1" s="18"/>
      <c r="L1" s="18"/>
      <c r="M1" s="18"/>
      <c r="N1" s="18"/>
    </row>
    <row r="2" spans="1:14" x14ac:dyDescent="0.35">
      <c r="A2" s="1" t="s">
        <v>0</v>
      </c>
      <c r="B2" s="1">
        <v>2030</v>
      </c>
      <c r="C2" s="1">
        <v>2035</v>
      </c>
      <c r="D2" s="1">
        <v>2040</v>
      </c>
      <c r="E2" s="1">
        <v>2045</v>
      </c>
      <c r="F2" s="1">
        <v>2047</v>
      </c>
      <c r="G2" s="10"/>
      <c r="H2" s="7" t="s">
        <v>24</v>
      </c>
      <c r="I2" s="1" t="s">
        <v>0</v>
      </c>
      <c r="J2" s="1">
        <v>2030</v>
      </c>
      <c r="K2" s="1">
        <v>2035</v>
      </c>
      <c r="L2" s="1">
        <v>2040</v>
      </c>
      <c r="M2" s="1">
        <v>2045</v>
      </c>
      <c r="N2" s="1">
        <v>2047</v>
      </c>
    </row>
    <row r="3" spans="1:14" x14ac:dyDescent="0.35">
      <c r="A3" s="2" t="s">
        <v>1</v>
      </c>
      <c r="B3">
        <v>113307.23999999999</v>
      </c>
      <c r="C3">
        <v>163375.68000000002</v>
      </c>
      <c r="D3">
        <v>242455.26</v>
      </c>
      <c r="E3">
        <v>367184.16000000003</v>
      </c>
      <c r="F3">
        <v>435437.22000000003</v>
      </c>
      <c r="H3" s="8">
        <v>0.7</v>
      </c>
      <c r="I3" s="2" t="s">
        <v>1</v>
      </c>
      <c r="J3" s="11">
        <f>B$3/($H3*365*24)</f>
        <v>18.478023483365952</v>
      </c>
      <c r="K3" s="11">
        <f t="shared" ref="K3:N3" si="0">C$3/($H3*365*24)</f>
        <v>26.643131115459891</v>
      </c>
      <c r="L3" s="11">
        <f t="shared" si="0"/>
        <v>39.539344422700594</v>
      </c>
      <c r="M3" s="11">
        <f t="shared" si="0"/>
        <v>59.880000000000017</v>
      </c>
      <c r="N3" s="11">
        <f t="shared" si="0"/>
        <v>71.010636007827799</v>
      </c>
    </row>
    <row r="4" spans="1:14" x14ac:dyDescent="0.35">
      <c r="A4" s="2" t="s">
        <v>2</v>
      </c>
      <c r="B4">
        <v>37769.08</v>
      </c>
      <c r="C4">
        <v>54458.559999999998</v>
      </c>
      <c r="D4">
        <v>80818.42</v>
      </c>
      <c r="E4">
        <v>122394.72</v>
      </c>
      <c r="F4">
        <v>145145.74</v>
      </c>
      <c r="H4" s="9">
        <v>0.15</v>
      </c>
      <c r="I4" s="2" t="s">
        <v>2</v>
      </c>
      <c r="J4" s="11">
        <f>B$4/($H4*365*24)</f>
        <v>28.743592085235921</v>
      </c>
      <c r="K4" s="11">
        <f t="shared" ref="K4:N4" si="1">C$4/($H4*365*24)</f>
        <v>41.444870624048704</v>
      </c>
      <c r="L4" s="11">
        <f t="shared" si="1"/>
        <v>61.505646879756469</v>
      </c>
      <c r="M4" s="11">
        <f t="shared" si="1"/>
        <v>93.146666666666661</v>
      </c>
      <c r="N4" s="11">
        <f t="shared" si="1"/>
        <v>110.46098934550989</v>
      </c>
    </row>
    <row r="5" spans="1:14" x14ac:dyDescent="0.35">
      <c r="A5" s="2" t="s">
        <v>3</v>
      </c>
      <c r="B5">
        <v>37769.08</v>
      </c>
      <c r="C5">
        <v>54458.559999999998</v>
      </c>
      <c r="D5">
        <v>80818.42</v>
      </c>
      <c r="E5">
        <v>122394.72</v>
      </c>
      <c r="F5">
        <v>145145.74</v>
      </c>
      <c r="H5" s="8">
        <v>0.4</v>
      </c>
      <c r="I5" s="2" t="s">
        <v>3</v>
      </c>
      <c r="J5" s="11">
        <f>B$5/($H5*365*24)</f>
        <v>10.778847031963471</v>
      </c>
      <c r="K5" s="11">
        <f t="shared" ref="K5:N5" si="2">C$5/($H5*365*24)</f>
        <v>15.541826484018264</v>
      </c>
      <c r="L5" s="11">
        <f t="shared" si="2"/>
        <v>23.064617579908674</v>
      </c>
      <c r="M5" s="11">
        <f t="shared" si="2"/>
        <v>34.93</v>
      </c>
      <c r="N5" s="11">
        <f t="shared" si="2"/>
        <v>41.422871004566204</v>
      </c>
    </row>
    <row r="6" spans="1:14" x14ac:dyDescent="0.35">
      <c r="A6" s="2" t="s">
        <v>25</v>
      </c>
      <c r="B6">
        <v>26438.356</v>
      </c>
      <c r="C6">
        <v>38120.991999999998</v>
      </c>
      <c r="D6">
        <v>56572.894</v>
      </c>
      <c r="E6">
        <v>85676.304000000004</v>
      </c>
      <c r="F6">
        <v>101602.01800000001</v>
      </c>
      <c r="H6" s="9">
        <v>0.4</v>
      </c>
      <c r="I6" s="2" t="s">
        <v>25</v>
      </c>
      <c r="J6" s="11">
        <f>B6/($H6*365*24)</f>
        <v>7.5451929223744294</v>
      </c>
      <c r="K6" s="11">
        <f t="shared" ref="K6:N10" si="3">C6/($H6*365*24)</f>
        <v>10.879278538812786</v>
      </c>
      <c r="L6" s="11">
        <f t="shared" si="3"/>
        <v>16.145232305936073</v>
      </c>
      <c r="M6" s="11">
        <f t="shared" si="3"/>
        <v>24.451000000000001</v>
      </c>
      <c r="N6" s="11">
        <f t="shared" si="3"/>
        <v>28.99600970319635</v>
      </c>
    </row>
    <row r="7" spans="1:14" x14ac:dyDescent="0.35">
      <c r="A7" s="2" t="s">
        <v>4</v>
      </c>
      <c r="B7">
        <v>37769.08</v>
      </c>
      <c r="C7">
        <v>54458.559999999998</v>
      </c>
      <c r="D7">
        <v>80818.42</v>
      </c>
      <c r="E7">
        <v>122394.72</v>
      </c>
      <c r="F7">
        <v>145145.74</v>
      </c>
      <c r="H7" s="8">
        <v>0.85</v>
      </c>
      <c r="I7" s="2" t="s">
        <v>4</v>
      </c>
      <c r="J7" s="11">
        <f>B7/($H7*365*24)</f>
        <v>5.0723986032769277</v>
      </c>
      <c r="K7" s="11">
        <f t="shared" si="3"/>
        <v>7.3138006983615362</v>
      </c>
      <c r="L7" s="11">
        <f t="shared" si="3"/>
        <v>10.853937684662906</v>
      </c>
      <c r="M7" s="11">
        <f t="shared" si="3"/>
        <v>16.437647058823529</v>
      </c>
      <c r="N7" s="11">
        <f t="shared" si="3"/>
        <v>19.493115766854686</v>
      </c>
    </row>
    <row r="8" spans="1:14" x14ac:dyDescent="0.35">
      <c r="A8" s="2" t="s">
        <v>26</v>
      </c>
      <c r="B8">
        <v>67984.343999999997</v>
      </c>
      <c r="C8">
        <v>98025.407999999996</v>
      </c>
      <c r="D8">
        <v>145473.15600000002</v>
      </c>
      <c r="E8">
        <v>220310.49600000001</v>
      </c>
      <c r="F8">
        <v>261262.33199999999</v>
      </c>
      <c r="H8" s="9">
        <v>0.2</v>
      </c>
      <c r="I8" s="2" t="s">
        <v>26</v>
      </c>
      <c r="J8" s="11">
        <f>B8/($H8*365*24)</f>
        <v>38.80384931506849</v>
      </c>
      <c r="K8" s="11">
        <f t="shared" si="3"/>
        <v>55.950575342465754</v>
      </c>
      <c r="L8" s="11">
        <f t="shared" si="3"/>
        <v>83.032623287671242</v>
      </c>
      <c r="M8" s="11">
        <f t="shared" si="3"/>
        <v>125.748</v>
      </c>
      <c r="N8" s="11">
        <f t="shared" si="3"/>
        <v>149.12233561643836</v>
      </c>
    </row>
    <row r="9" spans="1:14" x14ac:dyDescent="0.35">
      <c r="A9" s="2" t="s">
        <v>27</v>
      </c>
      <c r="B9">
        <v>18884.54</v>
      </c>
      <c r="C9">
        <v>27229.279999999999</v>
      </c>
      <c r="D9">
        <v>40409.21</v>
      </c>
      <c r="E9">
        <v>61197.36</v>
      </c>
      <c r="F9">
        <v>72572.87</v>
      </c>
      <c r="H9" s="9">
        <v>0.3</v>
      </c>
      <c r="I9" s="2" t="s">
        <v>27</v>
      </c>
      <c r="J9" s="11">
        <f>B9/($H9*365*24)</f>
        <v>7.1858980213089803</v>
      </c>
      <c r="K9" s="11">
        <f t="shared" si="3"/>
        <v>10.361217656012176</v>
      </c>
      <c r="L9" s="11">
        <f t="shared" si="3"/>
        <v>15.376411719939117</v>
      </c>
      <c r="M9" s="11">
        <f t="shared" si="3"/>
        <v>23.286666666666665</v>
      </c>
      <c r="N9" s="11">
        <f t="shared" si="3"/>
        <v>27.615247336377472</v>
      </c>
    </row>
    <row r="10" spans="1:14" x14ac:dyDescent="0.35">
      <c r="A10" s="2" t="s">
        <v>5</v>
      </c>
      <c r="B10">
        <v>37769.08</v>
      </c>
      <c r="C10">
        <v>54458.559999999998</v>
      </c>
      <c r="D10">
        <v>80818.42</v>
      </c>
      <c r="E10">
        <v>122394.72</v>
      </c>
      <c r="F10">
        <v>145145.74</v>
      </c>
      <c r="H10" s="9">
        <v>0.75</v>
      </c>
      <c r="I10" s="2" t="s">
        <v>5</v>
      </c>
      <c r="J10" s="11">
        <f>B10/($H10*365*24)</f>
        <v>5.7487184170471846</v>
      </c>
      <c r="K10" s="11">
        <f t="shared" si="3"/>
        <v>8.2889741248097408</v>
      </c>
      <c r="L10" s="11">
        <f t="shared" si="3"/>
        <v>12.301129375951293</v>
      </c>
      <c r="M10" s="11">
        <f t="shared" si="3"/>
        <v>18.629333333333335</v>
      </c>
      <c r="N10" s="11">
        <f t="shared" si="3"/>
        <v>22.092197869101977</v>
      </c>
    </row>
    <row r="15" spans="1:14" x14ac:dyDescent="0.35">
      <c r="B15" t="s">
        <v>38</v>
      </c>
      <c r="C15">
        <v>0.2</v>
      </c>
    </row>
  </sheetData>
  <mergeCells count="2">
    <mergeCell ref="J1:N1"/>
    <mergeCell ref="B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72E4-A6F7-48FB-88B4-EE111EA8D3C7}">
  <dimension ref="A1:N15"/>
  <sheetViews>
    <sheetView topLeftCell="F1" workbookViewId="0">
      <selection activeCell="B22" sqref="B22"/>
    </sheetView>
  </sheetViews>
  <sheetFormatPr defaultRowHeight="14.5" x14ac:dyDescent="0.35"/>
  <sheetData>
    <row r="1" spans="1:14" x14ac:dyDescent="0.35">
      <c r="J1" s="18" t="s">
        <v>6</v>
      </c>
      <c r="K1" s="18"/>
      <c r="L1" s="18"/>
      <c r="M1" s="18"/>
      <c r="N1" s="18"/>
    </row>
    <row r="2" spans="1:14" x14ac:dyDescent="0.35">
      <c r="A2" s="1" t="s">
        <v>0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0"/>
      <c r="H2" s="7" t="s">
        <v>24</v>
      </c>
      <c r="I2" s="1" t="s">
        <v>0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</row>
    <row r="3" spans="1:14" x14ac:dyDescent="0.35">
      <c r="A3" s="2" t="s">
        <v>1</v>
      </c>
      <c r="B3">
        <v>493407.402</v>
      </c>
      <c r="C3">
        <v>493407.402</v>
      </c>
      <c r="D3">
        <v>493407.402</v>
      </c>
      <c r="E3">
        <v>493407.402</v>
      </c>
      <c r="F3">
        <v>493407.402</v>
      </c>
      <c r="H3" s="8">
        <v>0.7</v>
      </c>
      <c r="I3" s="2" t="s">
        <v>1</v>
      </c>
      <c r="J3" s="11">
        <f t="shared" ref="J3:J10" si="0">B3/($H3*365*24)</f>
        <v>80.464351272015662</v>
      </c>
      <c r="K3" s="11">
        <f t="shared" ref="K3:N10" si="1">C3/($H3*365*24)</f>
        <v>80.464351272015662</v>
      </c>
      <c r="L3" s="11">
        <f t="shared" si="1"/>
        <v>80.464351272015662</v>
      </c>
      <c r="M3" s="11">
        <f t="shared" si="1"/>
        <v>80.464351272015662</v>
      </c>
      <c r="N3" s="11">
        <f t="shared" si="1"/>
        <v>80.464351272015662</v>
      </c>
    </row>
    <row r="4" spans="1:14" x14ac:dyDescent="0.35">
      <c r="A4" s="2" t="s">
        <v>2</v>
      </c>
      <c r="B4">
        <v>164469.13400000002</v>
      </c>
      <c r="C4">
        <v>164469.13400000002</v>
      </c>
      <c r="D4">
        <v>164469.13400000002</v>
      </c>
      <c r="E4">
        <v>164469.13400000002</v>
      </c>
      <c r="F4">
        <v>164469.13400000002</v>
      </c>
      <c r="H4" s="9">
        <v>0.15</v>
      </c>
      <c r="I4" s="2" t="s">
        <v>2</v>
      </c>
      <c r="J4" s="11">
        <f t="shared" si="0"/>
        <v>125.16676864535771</v>
      </c>
      <c r="K4" s="11">
        <f t="shared" si="1"/>
        <v>125.16676864535771</v>
      </c>
      <c r="L4" s="11">
        <f t="shared" si="1"/>
        <v>125.16676864535771</v>
      </c>
      <c r="M4" s="11">
        <f t="shared" si="1"/>
        <v>125.16676864535771</v>
      </c>
      <c r="N4" s="11">
        <f t="shared" si="1"/>
        <v>125.16676864535771</v>
      </c>
    </row>
    <row r="5" spans="1:14" x14ac:dyDescent="0.35">
      <c r="A5" s="2" t="s">
        <v>3</v>
      </c>
      <c r="B5">
        <v>164469.13400000002</v>
      </c>
      <c r="C5">
        <v>164469.13400000002</v>
      </c>
      <c r="D5">
        <v>164469.13400000002</v>
      </c>
      <c r="E5">
        <v>164469.13400000002</v>
      </c>
      <c r="F5">
        <v>164469.13400000002</v>
      </c>
      <c r="H5" s="8">
        <v>0.4</v>
      </c>
      <c r="I5" s="2" t="s">
        <v>3</v>
      </c>
      <c r="J5" s="11">
        <f t="shared" si="0"/>
        <v>46.93753824200914</v>
      </c>
      <c r="K5" s="11">
        <f t="shared" si="1"/>
        <v>46.93753824200914</v>
      </c>
      <c r="L5" s="11">
        <f t="shared" si="1"/>
        <v>46.93753824200914</v>
      </c>
      <c r="M5" s="11">
        <f t="shared" si="1"/>
        <v>46.93753824200914</v>
      </c>
      <c r="N5" s="11">
        <f t="shared" si="1"/>
        <v>46.93753824200914</v>
      </c>
    </row>
    <row r="6" spans="1:14" x14ac:dyDescent="0.35">
      <c r="A6" s="2" t="s">
        <v>25</v>
      </c>
      <c r="B6">
        <v>115128.39380000002</v>
      </c>
      <c r="C6">
        <v>115128.39380000002</v>
      </c>
      <c r="D6">
        <v>115128.39380000002</v>
      </c>
      <c r="E6">
        <v>115128.39380000002</v>
      </c>
      <c r="F6">
        <v>115128.39380000002</v>
      </c>
      <c r="H6" s="9">
        <v>0.4</v>
      </c>
      <c r="I6" s="2" t="s">
        <v>25</v>
      </c>
      <c r="J6" s="11">
        <f t="shared" si="0"/>
        <v>32.856276769406399</v>
      </c>
      <c r="K6" s="11">
        <f t="shared" si="1"/>
        <v>32.856276769406399</v>
      </c>
      <c r="L6" s="11">
        <f t="shared" si="1"/>
        <v>32.856276769406399</v>
      </c>
      <c r="M6" s="11">
        <f t="shared" si="1"/>
        <v>32.856276769406399</v>
      </c>
      <c r="N6" s="11">
        <f t="shared" si="1"/>
        <v>32.856276769406399</v>
      </c>
    </row>
    <row r="7" spans="1:14" x14ac:dyDescent="0.35">
      <c r="A7" s="2" t="s">
        <v>4</v>
      </c>
      <c r="B7">
        <v>164469.13400000002</v>
      </c>
      <c r="C7">
        <v>164469.13400000002</v>
      </c>
      <c r="D7">
        <v>164469.13400000002</v>
      </c>
      <c r="E7">
        <v>164469.13400000002</v>
      </c>
      <c r="F7">
        <v>164469.13400000002</v>
      </c>
      <c r="H7" s="8">
        <v>0.85</v>
      </c>
      <c r="I7" s="2" t="s">
        <v>4</v>
      </c>
      <c r="J7" s="11">
        <f t="shared" si="0"/>
        <v>22.08825329035724</v>
      </c>
      <c r="K7" s="11">
        <f t="shared" si="1"/>
        <v>22.08825329035724</v>
      </c>
      <c r="L7" s="11">
        <f t="shared" si="1"/>
        <v>22.08825329035724</v>
      </c>
      <c r="M7" s="11">
        <f t="shared" si="1"/>
        <v>22.08825329035724</v>
      </c>
      <c r="N7" s="11">
        <f t="shared" si="1"/>
        <v>22.08825329035724</v>
      </c>
    </row>
    <row r="8" spans="1:14" x14ac:dyDescent="0.35">
      <c r="A8" s="2" t="s">
        <v>26</v>
      </c>
      <c r="B8">
        <v>82234.56700000001</v>
      </c>
      <c r="C8">
        <v>296044.4412</v>
      </c>
      <c r="D8">
        <v>296044.4412</v>
      </c>
      <c r="E8">
        <v>296044.4412</v>
      </c>
      <c r="F8">
        <v>296044.4412</v>
      </c>
      <c r="H8" s="9">
        <v>0.2</v>
      </c>
      <c r="I8" s="2" t="s">
        <v>26</v>
      </c>
      <c r="J8" s="11">
        <f t="shared" si="0"/>
        <v>46.93753824200914</v>
      </c>
      <c r="K8" s="11">
        <f t="shared" si="1"/>
        <v>168.97513767123289</v>
      </c>
      <c r="L8" s="11">
        <f t="shared" si="1"/>
        <v>168.97513767123289</v>
      </c>
      <c r="M8" s="11">
        <f t="shared" si="1"/>
        <v>168.97513767123289</v>
      </c>
      <c r="N8" s="11">
        <f t="shared" si="1"/>
        <v>168.97513767123289</v>
      </c>
    </row>
    <row r="9" spans="1:14" x14ac:dyDescent="0.35">
      <c r="A9" s="2" t="s">
        <v>27</v>
      </c>
      <c r="B9">
        <v>296044.4412</v>
      </c>
      <c r="C9">
        <v>82234.56700000001</v>
      </c>
      <c r="D9">
        <v>82234.56700000001</v>
      </c>
      <c r="E9">
        <v>82234.56700000001</v>
      </c>
      <c r="F9">
        <v>82234.56700000001</v>
      </c>
      <c r="H9" s="9">
        <v>0.3</v>
      </c>
      <c r="I9" s="2" t="s">
        <v>27</v>
      </c>
      <c r="J9" s="11">
        <f t="shared" si="0"/>
        <v>112.65009178082192</v>
      </c>
      <c r="K9" s="11">
        <f t="shared" si="1"/>
        <v>31.291692161339427</v>
      </c>
      <c r="L9" s="11">
        <f t="shared" si="1"/>
        <v>31.291692161339427</v>
      </c>
      <c r="M9" s="11">
        <f t="shared" si="1"/>
        <v>31.291692161339427</v>
      </c>
      <c r="N9" s="11">
        <f t="shared" si="1"/>
        <v>31.291692161339427</v>
      </c>
    </row>
    <row r="10" spans="1:14" x14ac:dyDescent="0.35">
      <c r="A10" s="2" t="s">
        <v>5</v>
      </c>
      <c r="B10">
        <v>164469.13400000002</v>
      </c>
      <c r="C10">
        <v>164469.13400000002</v>
      </c>
      <c r="D10">
        <v>164469.13400000002</v>
      </c>
      <c r="E10">
        <v>164469.13400000002</v>
      </c>
      <c r="F10">
        <v>164469.13400000002</v>
      </c>
      <c r="H10" s="9">
        <v>0.75</v>
      </c>
      <c r="I10" s="2" t="s">
        <v>5</v>
      </c>
      <c r="J10" s="11">
        <f t="shared" si="0"/>
        <v>25.033353729071539</v>
      </c>
      <c r="K10" s="11">
        <f t="shared" si="1"/>
        <v>25.033353729071539</v>
      </c>
      <c r="L10" s="11">
        <f t="shared" si="1"/>
        <v>25.033353729071539</v>
      </c>
      <c r="M10" s="11">
        <f t="shared" si="1"/>
        <v>25.033353729071539</v>
      </c>
      <c r="N10" s="11">
        <f t="shared" si="1"/>
        <v>25.033353729071539</v>
      </c>
    </row>
    <row r="15" spans="1:14" x14ac:dyDescent="0.35">
      <c r="A15" t="s">
        <v>38</v>
      </c>
      <c r="B15">
        <v>0.2</v>
      </c>
    </row>
  </sheetData>
  <mergeCells count="1">
    <mergeCell ref="J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6125-460B-4EF3-8DEB-3528B96620CF}">
  <dimension ref="A1:M10"/>
  <sheetViews>
    <sheetView topLeftCell="M18" workbookViewId="0">
      <selection activeCell="B3" sqref="B3:D10"/>
    </sheetView>
  </sheetViews>
  <sheetFormatPr defaultRowHeight="14.5" x14ac:dyDescent="0.35"/>
  <cols>
    <col min="2" max="2" width="8.7265625" customWidth="1"/>
    <col min="8" max="8" width="8.7265625" customWidth="1"/>
  </cols>
  <sheetData>
    <row r="1" spans="1:13" x14ac:dyDescent="0.35">
      <c r="B1" s="19" t="s">
        <v>29</v>
      </c>
      <c r="C1" s="19"/>
      <c r="D1" s="19"/>
      <c r="H1" s="19" t="s">
        <v>28</v>
      </c>
      <c r="I1" s="19"/>
      <c r="J1" s="19"/>
    </row>
    <row r="2" spans="1:13" s="15" customFormat="1" ht="21" x14ac:dyDescent="0.3">
      <c r="A2" s="14" t="s">
        <v>0</v>
      </c>
      <c r="B2" s="14" t="s">
        <v>35</v>
      </c>
      <c r="C2" s="14" t="s">
        <v>36</v>
      </c>
      <c r="D2" s="14" t="s">
        <v>37</v>
      </c>
      <c r="F2" s="14" t="s">
        <v>24</v>
      </c>
      <c r="G2" s="14" t="s">
        <v>0</v>
      </c>
      <c r="H2" s="14" t="s">
        <v>35</v>
      </c>
      <c r="I2" s="14" t="s">
        <v>36</v>
      </c>
      <c r="J2" s="14" t="s">
        <v>37</v>
      </c>
    </row>
    <row r="3" spans="1:13" s="15" customFormat="1" ht="10.5" x14ac:dyDescent="0.3">
      <c r="A3" s="3" t="s">
        <v>1</v>
      </c>
      <c r="B3" s="15">
        <v>287479.64400000003</v>
      </c>
      <c r="C3" s="15">
        <v>493407.402</v>
      </c>
      <c r="D3" s="15">
        <v>1017315.642</v>
      </c>
      <c r="F3" s="16">
        <v>0.7</v>
      </c>
      <c r="G3" s="3" t="s">
        <v>1</v>
      </c>
      <c r="H3" s="17">
        <f t="shared" ref="H3:H10" si="0">B3/($F3*365*24)</f>
        <v>46.881872798434451</v>
      </c>
      <c r="I3" s="17">
        <f t="shared" ref="I3:J10" si="1">C3/($F3*365*24)</f>
        <v>80.464351272015662</v>
      </c>
      <c r="J3" s="17">
        <f t="shared" si="1"/>
        <v>165.90274657534249</v>
      </c>
      <c r="L3" s="15" t="s">
        <v>38</v>
      </c>
      <c r="M3" s="15">
        <v>0.2</v>
      </c>
    </row>
    <row r="4" spans="1:13" s="15" customFormat="1" ht="10.5" x14ac:dyDescent="0.3">
      <c r="A4" s="3" t="s">
        <v>2</v>
      </c>
      <c r="B4" s="15">
        <v>95826.54800000001</v>
      </c>
      <c r="C4" s="15">
        <v>164469.13400000002</v>
      </c>
      <c r="D4" s="15">
        <v>339105.21400000004</v>
      </c>
      <c r="F4" s="17">
        <v>0.15</v>
      </c>
      <c r="G4" s="3" t="s">
        <v>2</v>
      </c>
      <c r="H4" s="17">
        <f t="shared" si="0"/>
        <v>72.92735768645359</v>
      </c>
      <c r="I4" s="17">
        <f t="shared" si="1"/>
        <v>125.16676864535771</v>
      </c>
      <c r="J4" s="17">
        <f t="shared" si="1"/>
        <v>258.07093911719943</v>
      </c>
    </row>
    <row r="5" spans="1:13" s="15" customFormat="1" ht="10.5" x14ac:dyDescent="0.3">
      <c r="A5" s="3" t="s">
        <v>3</v>
      </c>
      <c r="B5" s="15">
        <v>95826.54800000001</v>
      </c>
      <c r="C5" s="15">
        <v>164469.13400000002</v>
      </c>
      <c r="D5" s="15">
        <v>339105.21400000004</v>
      </c>
      <c r="F5" s="16">
        <v>0.4</v>
      </c>
      <c r="G5" s="3" t="s">
        <v>3</v>
      </c>
      <c r="H5" s="17">
        <f t="shared" si="0"/>
        <v>27.347759132420094</v>
      </c>
      <c r="I5" s="17">
        <f t="shared" si="1"/>
        <v>46.93753824200914</v>
      </c>
      <c r="J5" s="17">
        <f t="shared" si="1"/>
        <v>96.776602168949779</v>
      </c>
    </row>
    <row r="6" spans="1:13" s="15" customFormat="1" ht="10.5" x14ac:dyDescent="0.3">
      <c r="A6" s="3" t="s">
        <v>25</v>
      </c>
      <c r="B6" s="15">
        <v>67078.583599999998</v>
      </c>
      <c r="C6" s="15">
        <v>115128.39380000002</v>
      </c>
      <c r="D6" s="15">
        <v>237373.64980000001</v>
      </c>
      <c r="F6" s="17">
        <v>0.4</v>
      </c>
      <c r="G6" s="3" t="s">
        <v>25</v>
      </c>
      <c r="H6" s="17">
        <f t="shared" si="0"/>
        <v>19.143431392694062</v>
      </c>
      <c r="I6" s="17">
        <f t="shared" si="1"/>
        <v>32.856276769406399</v>
      </c>
      <c r="J6" s="17">
        <f t="shared" si="1"/>
        <v>67.743621518264845</v>
      </c>
    </row>
    <row r="7" spans="1:13" s="15" customFormat="1" ht="10.5" x14ac:dyDescent="0.3">
      <c r="A7" s="3" t="s">
        <v>4</v>
      </c>
      <c r="B7" s="15">
        <v>95826.54800000001</v>
      </c>
      <c r="C7" s="15">
        <v>164469.13400000002</v>
      </c>
      <c r="D7" s="15">
        <v>339105.21400000004</v>
      </c>
      <c r="F7" s="16">
        <v>0.85</v>
      </c>
      <c r="G7" s="3" t="s">
        <v>4</v>
      </c>
      <c r="H7" s="17">
        <f t="shared" si="0"/>
        <v>12.869533709374162</v>
      </c>
      <c r="I7" s="17">
        <f t="shared" si="1"/>
        <v>22.08825329035724</v>
      </c>
      <c r="J7" s="17">
        <f t="shared" si="1"/>
        <v>45.541930432446954</v>
      </c>
    </row>
    <row r="8" spans="1:13" s="15" customFormat="1" ht="10.5" x14ac:dyDescent="0.3">
      <c r="A8" s="3" t="s">
        <v>26</v>
      </c>
      <c r="B8" s="15">
        <v>172487.78640000001</v>
      </c>
      <c r="C8" s="15">
        <v>296044.4412</v>
      </c>
      <c r="D8" s="15">
        <v>610389.38520000002</v>
      </c>
      <c r="F8" s="17">
        <v>0.2</v>
      </c>
      <c r="G8" s="3" t="s">
        <v>26</v>
      </c>
      <c r="H8" s="17">
        <f t="shared" si="0"/>
        <v>98.451932876712334</v>
      </c>
      <c r="I8" s="17">
        <f t="shared" si="1"/>
        <v>168.97513767123289</v>
      </c>
      <c r="J8" s="17">
        <f t="shared" si="1"/>
        <v>348.3957678082192</v>
      </c>
    </row>
    <row r="9" spans="1:13" s="15" customFormat="1" ht="10.5" x14ac:dyDescent="0.3">
      <c r="A9" s="3" t="s">
        <v>27</v>
      </c>
      <c r="B9" s="15">
        <v>47913.274000000005</v>
      </c>
      <c r="C9" s="15">
        <v>82234.56700000001</v>
      </c>
      <c r="D9" s="15">
        <v>169552.60700000002</v>
      </c>
      <c r="F9" s="17">
        <v>0.3</v>
      </c>
      <c r="G9" s="3" t="s">
        <v>27</v>
      </c>
      <c r="H9" s="17">
        <f t="shared" si="0"/>
        <v>18.231839421613397</v>
      </c>
      <c r="I9" s="17">
        <f t="shared" si="1"/>
        <v>31.291692161339427</v>
      </c>
      <c r="J9" s="17">
        <f t="shared" si="1"/>
        <v>64.517734779299857</v>
      </c>
    </row>
    <row r="10" spans="1:13" s="15" customFormat="1" ht="10.5" x14ac:dyDescent="0.3">
      <c r="A10" s="3" t="s">
        <v>5</v>
      </c>
      <c r="B10" s="15">
        <v>95826.54800000001</v>
      </c>
      <c r="C10" s="15">
        <v>164469.13400000002</v>
      </c>
      <c r="D10" s="15">
        <v>339105.21400000004</v>
      </c>
      <c r="F10" s="17">
        <v>0.75</v>
      </c>
      <c r="G10" s="3" t="s">
        <v>5</v>
      </c>
      <c r="H10" s="17">
        <f t="shared" si="0"/>
        <v>14.585471537290717</v>
      </c>
      <c r="I10" s="17">
        <f t="shared" si="1"/>
        <v>25.033353729071539</v>
      </c>
      <c r="J10" s="17">
        <f t="shared" si="1"/>
        <v>51.614187823439885</v>
      </c>
    </row>
  </sheetData>
  <mergeCells count="2">
    <mergeCell ref="H1:J1"/>
    <mergeCell ref="B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76DA-921B-4CE4-A1F9-BED4739B4EFA}">
  <dimension ref="A1:F8"/>
  <sheetViews>
    <sheetView tabSelected="1" workbookViewId="0">
      <selection activeCell="Q11" sqref="Q11"/>
    </sheetView>
  </sheetViews>
  <sheetFormatPr defaultRowHeight="14.5" x14ac:dyDescent="0.35"/>
  <cols>
    <col min="2" max="4" width="0" hidden="1" customWidth="1"/>
  </cols>
  <sheetData>
    <row r="1" spans="1:6" ht="21" x14ac:dyDescent="0.35">
      <c r="A1" s="1" t="s">
        <v>9</v>
      </c>
      <c r="B1" s="1" t="s">
        <v>39</v>
      </c>
      <c r="C1" s="1" t="s">
        <v>40</v>
      </c>
      <c r="D1" s="20" t="s">
        <v>41</v>
      </c>
      <c r="E1" s="20" t="s">
        <v>42</v>
      </c>
      <c r="F1" s="20" t="s">
        <v>43</v>
      </c>
    </row>
    <row r="2" spans="1:6" x14ac:dyDescent="0.35">
      <c r="A2" s="2">
        <v>2016</v>
      </c>
      <c r="B2" s="2">
        <v>48.043860000000002</v>
      </c>
      <c r="C2" s="2">
        <v>9.9023859999999999</v>
      </c>
      <c r="D2">
        <f>SUM(B2,C2)</f>
        <v>57.946246000000002</v>
      </c>
      <c r="E2">
        <f>B2/D2</f>
        <v>0.8291108279904793</v>
      </c>
      <c r="F2">
        <f>C2/D2</f>
        <v>0.17088917200952067</v>
      </c>
    </row>
    <row r="3" spans="1:6" x14ac:dyDescent="0.35">
      <c r="A3" s="2">
        <v>2017</v>
      </c>
      <c r="B3" s="2">
        <v>53.293460000000003</v>
      </c>
      <c r="C3" s="2">
        <v>9.9820200000000003</v>
      </c>
      <c r="D3">
        <f t="shared" ref="D3:D8" si="0">SUM(B3,C3)</f>
        <v>63.275480000000002</v>
      </c>
      <c r="E3">
        <f t="shared" ref="E3:E8" si="1">B3/D3</f>
        <v>0.8422450529020088</v>
      </c>
      <c r="F3">
        <f t="shared" ref="F3:F8" si="2">C3/D3</f>
        <v>0.1577549470979912</v>
      </c>
    </row>
    <row r="4" spans="1:6" x14ac:dyDescent="0.35">
      <c r="A4" s="2">
        <v>2018</v>
      </c>
      <c r="B4" s="2">
        <v>59.748460000000001</v>
      </c>
      <c r="C4" s="2">
        <v>12.173823000000001</v>
      </c>
      <c r="D4">
        <f t="shared" si="0"/>
        <v>71.922283000000007</v>
      </c>
      <c r="E4">
        <f t="shared" si="1"/>
        <v>0.83073642142310744</v>
      </c>
      <c r="F4">
        <f t="shared" si="2"/>
        <v>0.1692635785768925</v>
      </c>
    </row>
    <row r="5" spans="1:6" x14ac:dyDescent="0.35">
      <c r="A5" s="2">
        <v>2019</v>
      </c>
      <c r="B5" s="2">
        <v>57.88776</v>
      </c>
      <c r="C5" s="2">
        <v>13.426164999999999</v>
      </c>
      <c r="D5">
        <f t="shared" si="0"/>
        <v>71.313924999999998</v>
      </c>
      <c r="E5">
        <f t="shared" si="1"/>
        <v>0.81173150965957919</v>
      </c>
      <c r="F5">
        <f t="shared" si="2"/>
        <v>0.1882684903404209</v>
      </c>
    </row>
    <row r="6" spans="1:6" x14ac:dyDescent="0.35">
      <c r="A6" s="2">
        <v>2020</v>
      </c>
      <c r="B6" s="2">
        <v>54.769660000000002</v>
      </c>
      <c r="C6" s="2">
        <v>12.744070000000001</v>
      </c>
      <c r="D6">
        <f t="shared" si="0"/>
        <v>67.51373000000001</v>
      </c>
      <c r="E6">
        <f t="shared" si="1"/>
        <v>0.81123735868244862</v>
      </c>
      <c r="F6">
        <f t="shared" si="2"/>
        <v>0.18876264131755124</v>
      </c>
    </row>
    <row r="7" spans="1:6" x14ac:dyDescent="0.35">
      <c r="A7" s="2">
        <v>2021</v>
      </c>
      <c r="B7" s="2">
        <v>58.609859999999998</v>
      </c>
      <c r="C7" s="2">
        <v>12.349781999999999</v>
      </c>
      <c r="D7">
        <f t="shared" si="0"/>
        <v>70.959642000000002</v>
      </c>
      <c r="E7">
        <f t="shared" si="1"/>
        <v>0.82596048046578352</v>
      </c>
      <c r="F7">
        <f t="shared" si="2"/>
        <v>0.17403951953421634</v>
      </c>
    </row>
    <row r="8" spans="1:6" x14ac:dyDescent="0.35">
      <c r="A8" s="2">
        <v>2022</v>
      </c>
      <c r="B8" s="2">
        <v>58.72</v>
      </c>
      <c r="C8" s="2">
        <v>12.027082</v>
      </c>
      <c r="D8">
        <f t="shared" si="0"/>
        <v>70.747082000000006</v>
      </c>
      <c r="E8">
        <f t="shared" si="1"/>
        <v>0.82999889663293802</v>
      </c>
      <c r="F8">
        <f t="shared" si="2"/>
        <v>0.17000110336706181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D195-4927-48C5-9350-3523A3CF8173}">
  <dimension ref="A1:F12"/>
  <sheetViews>
    <sheetView workbookViewId="0">
      <selection sqref="A1:F9"/>
    </sheetView>
  </sheetViews>
  <sheetFormatPr defaultRowHeight="14.5" x14ac:dyDescent="0.35"/>
  <cols>
    <col min="2" max="2" width="10.26953125" customWidth="1"/>
  </cols>
  <sheetData>
    <row r="1" spans="1:6" x14ac:dyDescent="0.3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5">
      <c r="A2" s="2" t="s">
        <v>1</v>
      </c>
      <c r="B2" s="13">
        <v>2467.027</v>
      </c>
      <c r="C2" s="13">
        <v>2467.027</v>
      </c>
      <c r="D2" s="13">
        <v>2467.027</v>
      </c>
      <c r="E2" s="13">
        <v>2467.027</v>
      </c>
      <c r="F2" s="13">
        <v>2467.027</v>
      </c>
    </row>
    <row r="3" spans="1:6" x14ac:dyDescent="0.35">
      <c r="A3" s="2" t="s">
        <v>2</v>
      </c>
      <c r="B3" s="13">
        <v>822.34220000000005</v>
      </c>
      <c r="C3" s="13">
        <v>822.34220000000005</v>
      </c>
      <c r="D3" s="13">
        <v>822.34220000000005</v>
      </c>
      <c r="E3" s="13">
        <v>822.34220000000005</v>
      </c>
      <c r="F3" s="13">
        <v>822.34220000000005</v>
      </c>
    </row>
    <row r="4" spans="1:6" x14ac:dyDescent="0.35">
      <c r="A4" s="2" t="s">
        <v>3</v>
      </c>
      <c r="B4" s="13">
        <v>822.34220000000005</v>
      </c>
      <c r="C4" s="13">
        <v>822.34220000000005</v>
      </c>
      <c r="D4" s="13">
        <v>822.34220000000005</v>
      </c>
      <c r="E4" s="13">
        <v>822.34220000000005</v>
      </c>
      <c r="F4" s="13">
        <v>822.34220000000005</v>
      </c>
    </row>
    <row r="5" spans="1:6" x14ac:dyDescent="0.35">
      <c r="A5" s="2" t="s">
        <v>25</v>
      </c>
      <c r="B5" s="13">
        <v>575.6395</v>
      </c>
      <c r="C5" s="13">
        <v>575.6395</v>
      </c>
      <c r="D5" s="13">
        <v>575.6395</v>
      </c>
      <c r="E5" s="13">
        <v>575.6395</v>
      </c>
      <c r="F5" s="13">
        <v>575.6395</v>
      </c>
    </row>
    <row r="6" spans="1:6" x14ac:dyDescent="0.35">
      <c r="A6" s="2" t="s">
        <v>4</v>
      </c>
      <c r="B6" s="13">
        <v>822.34220000000005</v>
      </c>
      <c r="C6" s="13">
        <v>822.34220000000005</v>
      </c>
      <c r="D6" s="13">
        <v>822.34220000000005</v>
      </c>
      <c r="E6" s="13">
        <v>822.34220000000005</v>
      </c>
      <c r="F6" s="13">
        <v>822.34220000000005</v>
      </c>
    </row>
    <row r="7" spans="1:6" x14ac:dyDescent="0.35">
      <c r="A7" s="2" t="s">
        <v>26</v>
      </c>
      <c r="B7" s="13">
        <v>411.17110000000002</v>
      </c>
      <c r="C7" s="13">
        <v>1480.2159999999999</v>
      </c>
      <c r="D7" s="13">
        <v>1480.2159999999999</v>
      </c>
      <c r="E7" s="13">
        <v>1480.2159999999999</v>
      </c>
      <c r="F7" s="13">
        <v>1480.2159999999999</v>
      </c>
    </row>
    <row r="8" spans="1:6" x14ac:dyDescent="0.35">
      <c r="A8" s="2" t="s">
        <v>27</v>
      </c>
      <c r="B8" s="13">
        <v>1480.2159999999999</v>
      </c>
      <c r="C8" s="13">
        <v>411.17110000000002</v>
      </c>
      <c r="D8" s="13">
        <v>411.17110000000002</v>
      </c>
      <c r="E8" s="13">
        <v>411.17110000000002</v>
      </c>
      <c r="F8" s="13">
        <v>411.17110000000002</v>
      </c>
    </row>
    <row r="9" spans="1:6" x14ac:dyDescent="0.35">
      <c r="A9" s="2" t="s">
        <v>5</v>
      </c>
      <c r="B9" s="13">
        <v>822.34220000000005</v>
      </c>
      <c r="C9" s="13">
        <v>822.34220000000005</v>
      </c>
      <c r="D9" s="13">
        <v>822.34220000000005</v>
      </c>
      <c r="E9" s="13">
        <v>822.34220000000005</v>
      </c>
      <c r="F9" s="13">
        <v>822.34220000000005</v>
      </c>
    </row>
    <row r="12" spans="1:6" x14ac:dyDescent="0.35">
      <c r="B12" s="12">
        <v>1000000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3EB6-5A37-46F4-B767-F2A06528E6B7}">
  <dimension ref="A1:P21"/>
  <sheetViews>
    <sheetView topLeftCell="G1" workbookViewId="0">
      <selection sqref="A1:XFD1048576"/>
    </sheetView>
  </sheetViews>
  <sheetFormatPr defaultRowHeight="14.5" x14ac:dyDescent="0.35"/>
  <cols>
    <col min="1" max="6" width="0" hidden="1" customWidth="1"/>
  </cols>
  <sheetData>
    <row r="1" spans="1:16" x14ac:dyDescent="0.35">
      <c r="C1" t="s">
        <v>7</v>
      </c>
      <c r="L1" t="s">
        <v>8</v>
      </c>
    </row>
    <row r="2" spans="1:16" ht="21" x14ac:dyDescent="0.35">
      <c r="A2" s="1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/>
      <c r="J2" s="1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6" x14ac:dyDescent="0.35">
      <c r="A3" s="2" t="s">
        <v>15</v>
      </c>
      <c r="B3" s="2">
        <v>30.708400000000001</v>
      </c>
      <c r="C3" s="2">
        <v>0.28599999999999998</v>
      </c>
      <c r="D3" s="2">
        <v>1.95566</v>
      </c>
      <c r="E3" s="2">
        <v>11.6022</v>
      </c>
      <c r="F3" s="2">
        <v>3.4916</v>
      </c>
      <c r="G3" s="3"/>
      <c r="H3">
        <f>SUM(B3:F3)</f>
        <v>48.043860000000002</v>
      </c>
      <c r="J3" s="2" t="s">
        <v>15</v>
      </c>
      <c r="K3" s="2">
        <v>4.2894329999999998</v>
      </c>
      <c r="L3" s="2">
        <v>2.3123049999999998</v>
      </c>
      <c r="M3" s="2">
        <v>0.34212700000000001</v>
      </c>
      <c r="N3" s="2">
        <v>1.2611749999999999</v>
      </c>
      <c r="O3" s="2">
        <v>1.6973450000000001</v>
      </c>
      <c r="P3">
        <f>SUM(K3:O3)</f>
        <v>9.9023849999999989</v>
      </c>
    </row>
    <row r="4" spans="1:16" x14ac:dyDescent="0.35">
      <c r="A4" s="2" t="s">
        <v>16</v>
      </c>
      <c r="B4" s="2">
        <v>35.502499999999998</v>
      </c>
      <c r="C4" s="2">
        <v>0.28720000000000001</v>
      </c>
      <c r="D4" s="2">
        <v>1.8791599999999999</v>
      </c>
      <c r="E4" s="2">
        <v>11.3904</v>
      </c>
      <c r="F4" s="2">
        <v>4.2342000000000004</v>
      </c>
      <c r="G4" s="3"/>
      <c r="H4">
        <f t="shared" ref="H4:H9" si="0">SUM(B4:F4)</f>
        <v>53.293459999999996</v>
      </c>
      <c r="J4" s="2" t="s">
        <v>16</v>
      </c>
      <c r="K4" s="2">
        <v>4.2918969999999996</v>
      </c>
      <c r="L4" s="2">
        <v>2.2882530000000001</v>
      </c>
      <c r="M4" s="2">
        <v>0.34043800000000002</v>
      </c>
      <c r="N4" s="2">
        <v>1.3942639999999999</v>
      </c>
      <c r="O4" s="2">
        <v>1.667168</v>
      </c>
      <c r="P4">
        <f t="shared" ref="P4:P9" si="1">SUM(K4:O4)</f>
        <v>9.9820200000000003</v>
      </c>
    </row>
    <row r="5" spans="1:16" x14ac:dyDescent="0.35">
      <c r="A5" s="2" t="s">
        <v>17</v>
      </c>
      <c r="B5" s="2">
        <v>40.485599999999998</v>
      </c>
      <c r="C5" s="2">
        <v>0.42380000000000001</v>
      </c>
      <c r="D5" s="2">
        <v>1.7528600000000001</v>
      </c>
      <c r="E5" s="2">
        <v>12.123200000000001</v>
      </c>
      <c r="F5" s="2">
        <v>4.9630000000000001</v>
      </c>
      <c r="G5" s="3"/>
      <c r="H5">
        <f t="shared" si="0"/>
        <v>59.748460000000001</v>
      </c>
      <c r="J5" s="2" t="s">
        <v>17</v>
      </c>
      <c r="K5" s="2">
        <v>5.331575</v>
      </c>
      <c r="L5" s="2">
        <v>3.7603460000000002</v>
      </c>
      <c r="M5" s="2">
        <v>0.32023099999999999</v>
      </c>
      <c r="N5" s="2">
        <v>1.1197870000000001</v>
      </c>
      <c r="O5" s="2">
        <v>1.641883</v>
      </c>
      <c r="P5">
        <f t="shared" si="1"/>
        <v>12.173821999999999</v>
      </c>
    </row>
    <row r="6" spans="1:16" x14ac:dyDescent="0.35">
      <c r="A6" s="2" t="s">
        <v>18</v>
      </c>
      <c r="B6" s="2">
        <v>39.085700000000003</v>
      </c>
      <c r="C6" s="2">
        <v>0.35399999999999998</v>
      </c>
      <c r="D6" s="2">
        <v>1.4580599999999999</v>
      </c>
      <c r="E6" s="2">
        <v>12.3287</v>
      </c>
      <c r="F6" s="2">
        <v>4.6612999999999998</v>
      </c>
      <c r="G6" s="3"/>
      <c r="H6">
        <f t="shared" si="0"/>
        <v>57.88776</v>
      </c>
      <c r="J6" s="2" t="s">
        <v>18</v>
      </c>
      <c r="K6" s="2">
        <v>5.8230230000000001</v>
      </c>
      <c r="L6" s="2">
        <v>3.8591150000000001</v>
      </c>
      <c r="M6" s="2">
        <v>0.43296600000000002</v>
      </c>
      <c r="N6" s="2">
        <v>1.437784</v>
      </c>
      <c r="O6" s="2">
        <v>1.8732770000000001</v>
      </c>
      <c r="P6">
        <f t="shared" si="1"/>
        <v>13.426165000000001</v>
      </c>
    </row>
    <row r="7" spans="1:16" x14ac:dyDescent="0.35">
      <c r="A7" s="2" t="s">
        <v>19</v>
      </c>
      <c r="B7" s="2">
        <v>36.714500000000001</v>
      </c>
      <c r="C7" s="2">
        <v>0.36380000000000001</v>
      </c>
      <c r="D7" s="2">
        <v>1.15126</v>
      </c>
      <c r="E7" s="2">
        <v>12.8605</v>
      </c>
      <c r="F7" s="2">
        <v>3.6796000000000002</v>
      </c>
      <c r="G7" s="3"/>
      <c r="H7">
        <f t="shared" si="0"/>
        <v>54.769660000000002</v>
      </c>
      <c r="J7" s="2" t="s">
        <v>19</v>
      </c>
      <c r="K7" s="2">
        <v>4.8635089999999996</v>
      </c>
      <c r="L7" s="2">
        <v>4.7299490000000004</v>
      </c>
      <c r="M7" s="2">
        <v>0.287381</v>
      </c>
      <c r="N7" s="2">
        <v>1.0536620000000001</v>
      </c>
      <c r="O7" s="2">
        <v>1.809569</v>
      </c>
      <c r="P7">
        <f t="shared" si="1"/>
        <v>12.744070000000001</v>
      </c>
    </row>
    <row r="8" spans="1:16" x14ac:dyDescent="0.35">
      <c r="A8" s="2" t="s">
        <v>20</v>
      </c>
      <c r="B8" s="2">
        <v>39.690800000000003</v>
      </c>
      <c r="C8" s="2">
        <v>0.41339999999999999</v>
      </c>
      <c r="D8" s="2">
        <v>0.90536000000000005</v>
      </c>
      <c r="E8" s="2">
        <v>13.454499999999999</v>
      </c>
      <c r="F8" s="2">
        <v>4.1458000000000004</v>
      </c>
      <c r="G8" s="3"/>
      <c r="H8">
        <f t="shared" si="0"/>
        <v>58.609860000000005</v>
      </c>
      <c r="J8" s="2" t="s">
        <v>20</v>
      </c>
      <c r="K8" s="2">
        <v>4.9981929999999997</v>
      </c>
      <c r="L8" s="2">
        <v>4.5635409999999998</v>
      </c>
      <c r="M8" s="2">
        <v>0.34565800000000002</v>
      </c>
      <c r="N8" s="2">
        <v>0.89114300000000002</v>
      </c>
      <c r="O8" s="2">
        <v>1.5512459999999999</v>
      </c>
      <c r="P8">
        <f t="shared" si="1"/>
        <v>12.349781</v>
      </c>
    </row>
    <row r="9" spans="1:16" x14ac:dyDescent="0.35">
      <c r="A9" s="2" t="s">
        <v>21</v>
      </c>
      <c r="B9" s="2">
        <v>41.349600000000002</v>
      </c>
      <c r="C9" s="2">
        <v>0.39319999999999999</v>
      </c>
      <c r="D9" s="2">
        <v>0.6613</v>
      </c>
      <c r="E9" s="2">
        <v>11.9411</v>
      </c>
      <c r="F9" s="2">
        <v>4.3747999999999996</v>
      </c>
      <c r="G9" s="3"/>
      <c r="H9">
        <f t="shared" si="0"/>
        <v>58.72</v>
      </c>
      <c r="J9" s="2" t="s">
        <v>21</v>
      </c>
      <c r="K9" s="2">
        <v>5.1479780000000002</v>
      </c>
      <c r="L9" s="2">
        <v>4.1353390000000001</v>
      </c>
      <c r="M9" s="2">
        <v>0.40541700000000003</v>
      </c>
      <c r="N9" s="2">
        <v>0.76680999999999999</v>
      </c>
      <c r="O9" s="2">
        <v>1.571539</v>
      </c>
      <c r="P9">
        <f t="shared" si="1"/>
        <v>12.027082999999999</v>
      </c>
    </row>
    <row r="14" spans="1:16" ht="21" x14ac:dyDescent="0.35">
      <c r="A14" s="1" t="s">
        <v>9</v>
      </c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6" t="s">
        <v>22</v>
      </c>
      <c r="H14" s="6" t="s">
        <v>23</v>
      </c>
      <c r="I14" s="5"/>
    </row>
    <row r="15" spans="1:16" x14ac:dyDescent="0.35">
      <c r="A15" s="2" t="s">
        <v>15</v>
      </c>
      <c r="B15">
        <f>B3/K3</f>
        <v>7.1590813984039388</v>
      </c>
      <c r="C15">
        <f>C3/L3</f>
        <v>0.12368610542294377</v>
      </c>
      <c r="D15">
        <f>D3/M3</f>
        <v>5.7161814180114394</v>
      </c>
      <c r="E15">
        <f>E3/N3</f>
        <v>9.1995163240628788</v>
      </c>
      <c r="F15">
        <f>F3/O3</f>
        <v>2.0570950513890809</v>
      </c>
      <c r="G15">
        <v>2016</v>
      </c>
      <c r="H15">
        <f>H3/(H3+P3)</f>
        <v>0.82911084229875465</v>
      </c>
    </row>
    <row r="16" spans="1:16" x14ac:dyDescent="0.35">
      <c r="A16" s="2" t="s">
        <v>16</v>
      </c>
      <c r="B16">
        <f t="shared" ref="B16:F21" si="2">B4/K4</f>
        <v>8.2719832279292813</v>
      </c>
      <c r="C16">
        <f t="shared" si="2"/>
        <v>0.12551059694885136</v>
      </c>
      <c r="D16">
        <f t="shared" si="2"/>
        <v>5.5198303362139356</v>
      </c>
      <c r="E16">
        <f t="shared" si="2"/>
        <v>8.1694714917691336</v>
      </c>
      <c r="F16">
        <f t="shared" si="2"/>
        <v>2.5397560413827525</v>
      </c>
      <c r="G16">
        <v>2017</v>
      </c>
      <c r="H16">
        <f t="shared" ref="H16:H21" si="3">H4/(H4+P4)</f>
        <v>0.8422450529020088</v>
      </c>
    </row>
    <row r="17" spans="1:11" x14ac:dyDescent="0.35">
      <c r="A17" s="2" t="s">
        <v>17</v>
      </c>
      <c r="B17">
        <f t="shared" si="2"/>
        <v>7.5935534996694223</v>
      </c>
      <c r="C17">
        <f t="shared" si="2"/>
        <v>0.1127023949391891</v>
      </c>
      <c r="D17">
        <f t="shared" si="2"/>
        <v>5.4737361467190873</v>
      </c>
      <c r="E17">
        <f t="shared" si="2"/>
        <v>10.826344653045624</v>
      </c>
      <c r="F17">
        <f t="shared" si="2"/>
        <v>3.0227488804013443</v>
      </c>
      <c r="G17">
        <v>2018</v>
      </c>
      <c r="H17">
        <f t="shared" si="3"/>
        <v>0.83073643297358124</v>
      </c>
    </row>
    <row r="18" spans="1:11" x14ac:dyDescent="0.35">
      <c r="A18" s="2" t="s">
        <v>18</v>
      </c>
      <c r="B18">
        <f t="shared" si="2"/>
        <v>6.712269554834319</v>
      </c>
      <c r="C18">
        <f t="shared" si="2"/>
        <v>9.1730876120561314E-2</v>
      </c>
      <c r="D18">
        <f t="shared" si="2"/>
        <v>3.3676085420102266</v>
      </c>
      <c r="E18">
        <f t="shared" si="2"/>
        <v>8.5747928757031655</v>
      </c>
      <c r="F18">
        <f t="shared" si="2"/>
        <v>2.4883132606656675</v>
      </c>
      <c r="G18">
        <v>2019</v>
      </c>
      <c r="H18">
        <f t="shared" si="3"/>
        <v>0.81173150965957919</v>
      </c>
    </row>
    <row r="19" spans="1:11" x14ac:dyDescent="0.35">
      <c r="A19" s="2" t="s">
        <v>19</v>
      </c>
      <c r="B19">
        <f t="shared" si="2"/>
        <v>7.5489733852656595</v>
      </c>
      <c r="C19">
        <f t="shared" si="2"/>
        <v>7.6914148545787694E-2</v>
      </c>
      <c r="D19">
        <f t="shared" si="2"/>
        <v>4.0060407612194266</v>
      </c>
      <c r="E19">
        <f t="shared" si="2"/>
        <v>12.205527009610291</v>
      </c>
      <c r="F19">
        <f t="shared" si="2"/>
        <v>2.0334123760961864</v>
      </c>
      <c r="G19">
        <v>2020</v>
      </c>
      <c r="H19">
        <f t="shared" si="3"/>
        <v>0.81123735868244862</v>
      </c>
      <c r="K19">
        <v>3.052</v>
      </c>
    </row>
    <row r="20" spans="1:11" x14ac:dyDescent="0.35">
      <c r="A20" s="2" t="s">
        <v>20</v>
      </c>
      <c r="B20">
        <f t="shared" si="2"/>
        <v>7.9410298882015971</v>
      </c>
      <c r="C20">
        <f t="shared" si="2"/>
        <v>9.0587550325503821E-2</v>
      </c>
      <c r="D20">
        <f t="shared" si="2"/>
        <v>2.6192363550098654</v>
      </c>
      <c r="E20">
        <f t="shared" si="2"/>
        <v>15.098025793840044</v>
      </c>
      <c r="F20">
        <f t="shared" si="2"/>
        <v>2.6725612829944447</v>
      </c>
      <c r="G20">
        <v>2021</v>
      </c>
      <c r="H20">
        <f t="shared" si="3"/>
        <v>0.82596049210564637</v>
      </c>
    </row>
    <row r="21" spans="1:11" x14ac:dyDescent="0.35">
      <c r="A21" s="2" t="s">
        <v>21</v>
      </c>
      <c r="B21">
        <f t="shared" si="2"/>
        <v>8.0322021578180802</v>
      </c>
      <c r="C21">
        <f t="shared" si="2"/>
        <v>9.5082894050524031E-2</v>
      </c>
      <c r="D21">
        <f t="shared" si="2"/>
        <v>1.6311600154902235</v>
      </c>
      <c r="E21">
        <f t="shared" si="2"/>
        <v>15.572436457531854</v>
      </c>
      <c r="F21">
        <f t="shared" si="2"/>
        <v>2.7837680133932405</v>
      </c>
      <c r="G21">
        <v>2022</v>
      </c>
      <c r="H21">
        <f t="shared" si="3"/>
        <v>0.82999888490102125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</vt:lpstr>
      <vt:lpstr>sensitivity</vt:lpstr>
      <vt:lpstr>scenarios</vt:lpstr>
      <vt:lpstr>ratio</vt:lpstr>
      <vt:lpstr>Sheet1</vt:lpstr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Khushee Binwal</dc:creator>
  <cp:lastModifiedBy>Khushee Binwal</cp:lastModifiedBy>
  <dcterms:created xsi:type="dcterms:W3CDTF">2025-11-06T12:16:06Z</dcterms:created>
  <dcterms:modified xsi:type="dcterms:W3CDTF">2025-11-13T11:37:22Z</dcterms:modified>
</cp:coreProperties>
</file>