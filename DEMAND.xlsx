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\Downloads\"/>
    </mc:Choice>
  </mc:AlternateContent>
  <xr:revisionPtr revIDLastSave="0" documentId="13_ncr:1_{5AF4156D-94B7-4E23-95D7-D0622A628D2C}" xr6:coauthVersionLast="47" xr6:coauthVersionMax="47" xr10:uidLastSave="{00000000-0000-0000-0000-000000000000}"/>
  <bookViews>
    <workbookView xWindow="-110" yWindow="-110" windowWidth="19420" windowHeight="12220" activeTab="4" xr2:uid="{74A9A7BD-3F72-4EB4-AF4B-AE5B72F20B61}"/>
  </bookViews>
  <sheets>
    <sheet name="Model Comparison" sheetId="1" r:id="rId1"/>
    <sheet name="Scenarios" sheetId="2" r:id="rId2"/>
    <sheet name="model" sheetId="7" r:id="rId3"/>
    <sheet name="evaluation" sheetId="8" r:id="rId4"/>
    <sheet name="model_validation" sheetId="9" r:id="rId5"/>
    <sheet name="Sheet3" sheetId="3" state="hidden" r:id="rId6"/>
    <sheet name="Sheet4" sheetId="4" state="hidden" r:id="rId7"/>
    <sheet name="Sheet5" sheetId="5" state="hidden" r:id="rId8"/>
  </sheets>
  <externalReferences>
    <externalReference r:id="rId9"/>
  </externalReferences>
  <definedNames>
    <definedName name="_xlchart.v1.0" hidden="1">Sheet3!$A$4:$A$12</definedName>
    <definedName name="_xlchart.v1.1" hidden="1">Sheet3!$B$3</definedName>
    <definedName name="_xlchart.v1.10" hidden="1">Sheet4!$B$2</definedName>
    <definedName name="_xlchart.v1.11" hidden="1">Sheet4!$B$3:$B$11</definedName>
    <definedName name="_xlchart.v1.12" hidden="1">Sheet4!$C$2</definedName>
    <definedName name="_xlchart.v1.13" hidden="1">Sheet4!$C$3:$C$11</definedName>
    <definedName name="_xlchart.v1.14" hidden="1">Sheet4!$D$2</definedName>
    <definedName name="_xlchart.v1.15" hidden="1">Sheet4!$D$3:$D$11</definedName>
    <definedName name="_xlchart.v1.2" hidden="1">Sheet3!$B$4:$B$12</definedName>
    <definedName name="_xlchart.v1.3" hidden="1">Sheet3!$C$3</definedName>
    <definedName name="_xlchart.v1.4" hidden="1">Sheet3!$C$4:$C$12</definedName>
    <definedName name="_xlchart.v1.5" hidden="1">Sheet3!$D$3</definedName>
    <definedName name="_xlchart.v1.6" hidden="1">Sheet3!$D$4:$D$12</definedName>
    <definedName name="_xlchart.v1.7" hidden="1">Sheet3!$E$3</definedName>
    <definedName name="_xlchart.v1.8" hidden="1">Sheet3!$E$4:$E$12</definedName>
    <definedName name="_xlchart.v1.9" hidden="1">Sheet4!$A$3:$A$11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9" l="1"/>
  <c r="G8" i="9"/>
  <c r="H8" i="9" s="1"/>
  <c r="I8" i="9" s="1"/>
  <c r="M8" i="9" s="1"/>
  <c r="K7" i="9"/>
  <c r="G7" i="9"/>
  <c r="H7" i="9" s="1"/>
  <c r="I7" i="9" s="1"/>
  <c r="M7" i="9" s="1"/>
  <c r="K6" i="9"/>
  <c r="G6" i="9"/>
  <c r="H6" i="9" s="1"/>
  <c r="I6" i="9" s="1"/>
  <c r="M6" i="9" s="1"/>
  <c r="K5" i="9"/>
  <c r="G5" i="9"/>
  <c r="H5" i="9" s="1"/>
  <c r="I5" i="9" s="1"/>
  <c r="M5" i="9" s="1"/>
  <c r="K4" i="9"/>
  <c r="G4" i="9"/>
  <c r="H4" i="9" s="1"/>
  <c r="I4" i="9" s="1"/>
  <c r="M4" i="9" s="1"/>
  <c r="K3" i="9"/>
  <c r="G3" i="9"/>
  <c r="H3" i="9" s="1"/>
  <c r="I3" i="9" s="1"/>
  <c r="M3" i="9" s="1"/>
  <c r="K2" i="9"/>
  <c r="G2" i="9"/>
  <c r="H2" i="9" s="1"/>
  <c r="I2" i="9" s="1"/>
  <c r="M2" i="9" s="1"/>
  <c r="H8" i="7"/>
  <c r="G8" i="7"/>
  <c r="B8" i="7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3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3" i="2"/>
  <c r="C4" i="2"/>
  <c r="AA5" i="2"/>
  <c r="AA6" i="2"/>
  <c r="AA7" i="2"/>
  <c r="AA8" i="2"/>
  <c r="AA4" i="2"/>
  <c r="L9" i="4"/>
  <c r="M9" i="4"/>
  <c r="N9" i="4"/>
  <c r="O9" i="4"/>
  <c r="P9" i="4"/>
  <c r="Q9" i="4"/>
  <c r="L8" i="4"/>
  <c r="M8" i="4"/>
  <c r="N8" i="4"/>
  <c r="O8" i="4"/>
  <c r="P8" i="4"/>
  <c r="Q8" i="4"/>
  <c r="L7" i="4"/>
  <c r="M7" i="4"/>
  <c r="N7" i="4"/>
  <c r="O7" i="4"/>
  <c r="P7" i="4"/>
  <c r="Q7" i="4"/>
  <c r="L6" i="4"/>
  <c r="M6" i="4"/>
  <c r="N6" i="4"/>
  <c r="O6" i="4"/>
  <c r="P6" i="4"/>
  <c r="Q6" i="4"/>
  <c r="L5" i="4"/>
  <c r="M5" i="4"/>
  <c r="N5" i="4"/>
  <c r="O5" i="4"/>
  <c r="P5" i="4"/>
  <c r="Q5" i="4"/>
  <c r="L4" i="4"/>
  <c r="M4" i="4"/>
  <c r="N4" i="4"/>
  <c r="O4" i="4"/>
  <c r="P4" i="4"/>
  <c r="Q4" i="4"/>
  <c r="K4" i="4"/>
  <c r="K5" i="4"/>
  <c r="K6" i="4"/>
  <c r="K7" i="4"/>
  <c r="K8" i="4"/>
  <c r="K9" i="4"/>
  <c r="K10" i="4"/>
  <c r="K11" i="4"/>
  <c r="L3" i="4"/>
  <c r="M3" i="4"/>
  <c r="N3" i="4"/>
  <c r="O3" i="4"/>
  <c r="P3" i="4"/>
  <c r="Q3" i="4"/>
  <c r="K3" i="4"/>
  <c r="H12" i="4"/>
  <c r="G12" i="4"/>
  <c r="F12" i="4"/>
  <c r="E12" i="4"/>
  <c r="D12" i="4"/>
  <c r="C12" i="4"/>
  <c r="B12" i="4"/>
  <c r="C13" i="3"/>
  <c r="D13" i="3"/>
  <c r="E13" i="3"/>
  <c r="F13" i="3"/>
  <c r="G13" i="3"/>
  <c r="H13" i="3"/>
  <c r="B13" i="3"/>
  <c r="K10" i="1"/>
  <c r="L10" i="1"/>
  <c r="L11" i="1"/>
  <c r="K11" i="1"/>
  <c r="J11" i="1"/>
  <c r="L11" i="4"/>
  <c r="M11" i="4"/>
  <c r="N11" i="4"/>
  <c r="O11" i="4"/>
  <c r="P11" i="4"/>
  <c r="Q11" i="4"/>
  <c r="L10" i="4"/>
  <c r="M10" i="4"/>
  <c r="N10" i="4"/>
  <c r="O10" i="4"/>
  <c r="P10" i="4"/>
  <c r="Q10" i="4"/>
  <c r="T5" i="2" l="1"/>
  <c r="U5" i="2" s="1"/>
  <c r="V5" i="2" s="1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4" i="2"/>
  <c r="S5" i="2"/>
  <c r="S6" i="2"/>
  <c r="U6" i="2" s="1"/>
  <c r="V6" i="2" s="1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4" i="2"/>
  <c r="U4" i="2" s="1"/>
  <c r="V4" i="2" s="1"/>
  <c r="Q5" i="2"/>
  <c r="Q6" i="2"/>
  <c r="Q7" i="2"/>
  <c r="Q8" i="2"/>
  <c r="Q9" i="2"/>
  <c r="Q10" i="2"/>
  <c r="U10" i="2" s="1"/>
  <c r="V10" i="2" s="1"/>
  <c r="Q11" i="2"/>
  <c r="Q12" i="2"/>
  <c r="Q13" i="2"/>
  <c r="Q14" i="2"/>
  <c r="U14" i="2" s="1"/>
  <c r="V14" i="2" s="1"/>
  <c r="Q15" i="2"/>
  <c r="Q16" i="2"/>
  <c r="Q17" i="2"/>
  <c r="Q18" i="2"/>
  <c r="U18" i="2" s="1"/>
  <c r="V18" i="2" s="1"/>
  <c r="Q19" i="2"/>
  <c r="Q20" i="2"/>
  <c r="Q21" i="2"/>
  <c r="Q22" i="2"/>
  <c r="Q23" i="2"/>
  <c r="Q24" i="2"/>
  <c r="Q25" i="2"/>
  <c r="Q26" i="2"/>
  <c r="Q27" i="2"/>
  <c r="Q28" i="2"/>
  <c r="Q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4" i="2"/>
  <c r="U25" i="2"/>
  <c r="V25" i="2" s="1"/>
  <c r="U23" i="2"/>
  <c r="V23" i="2" s="1"/>
  <c r="U22" i="2"/>
  <c r="V22" i="2" s="1"/>
  <c r="U21" i="2"/>
  <c r="V21" i="2" s="1"/>
  <c r="U9" i="2"/>
  <c r="V9" i="2" s="1"/>
  <c r="V3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4" i="2"/>
  <c r="N6" i="2"/>
  <c r="O6" i="2" s="1"/>
  <c r="N21" i="2"/>
  <c r="O21" i="2" s="1"/>
  <c r="N22" i="2"/>
  <c r="O22" i="2" s="1"/>
  <c r="N23" i="2"/>
  <c r="O23" i="2" s="1"/>
  <c r="O3" i="2"/>
  <c r="G6" i="2"/>
  <c r="H6" i="2" s="1"/>
  <c r="G7" i="2"/>
  <c r="H7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4" i="2"/>
  <c r="H4" i="2" s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G17" i="2"/>
  <c r="H17" i="2" s="1"/>
  <c r="G18" i="2"/>
  <c r="H18" i="2" s="1"/>
  <c r="G19" i="2"/>
  <c r="H19" i="2" s="1"/>
  <c r="G20" i="2"/>
  <c r="H20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D4" i="2"/>
  <c r="G5" i="2"/>
  <c r="H5" i="2" s="1"/>
  <c r="G8" i="2"/>
  <c r="H8" i="2" s="1"/>
  <c r="G9" i="2"/>
  <c r="H9" i="2" s="1"/>
  <c r="G10" i="2"/>
  <c r="H10" i="2" s="1"/>
  <c r="G21" i="2"/>
  <c r="H21" i="2" s="1"/>
  <c r="H3" i="2"/>
  <c r="J3" i="1"/>
  <c r="K3" i="1"/>
  <c r="L3" i="1"/>
  <c r="L4" i="1"/>
  <c r="K4" i="1"/>
  <c r="J4" i="1"/>
  <c r="B8" i="1"/>
  <c r="J6" i="1"/>
  <c r="K7" i="1"/>
  <c r="L7" i="1"/>
  <c r="K6" i="1"/>
  <c r="L6" i="1"/>
  <c r="K5" i="1"/>
  <c r="L5" i="1"/>
  <c r="J7" i="1"/>
  <c r="J5" i="1"/>
  <c r="N5" i="2" l="1"/>
  <c r="O5" i="2" s="1"/>
  <c r="N14" i="2"/>
  <c r="O14" i="2" s="1"/>
  <c r="N7" i="2"/>
  <c r="O7" i="2" s="1"/>
  <c r="N10" i="2"/>
  <c r="O10" i="2" s="1"/>
  <c r="U11" i="2"/>
  <c r="V11" i="2" s="1"/>
  <c r="U27" i="2"/>
  <c r="V27" i="2" s="1"/>
  <c r="U26" i="2"/>
  <c r="V26" i="2" s="1"/>
  <c r="U12" i="2"/>
  <c r="V12" i="2" s="1"/>
  <c r="U8" i="2"/>
  <c r="V8" i="2" s="1"/>
  <c r="U7" i="2"/>
  <c r="V7" i="2" s="1"/>
  <c r="U28" i="2"/>
  <c r="V28" i="2" s="1"/>
  <c r="U17" i="2"/>
  <c r="V17" i="2" s="1"/>
  <c r="U20" i="2"/>
  <c r="V20" i="2" s="1"/>
  <c r="U16" i="2"/>
  <c r="V16" i="2" s="1"/>
  <c r="U19" i="2"/>
  <c r="V19" i="2" s="1"/>
  <c r="U13" i="2"/>
  <c r="V13" i="2" s="1"/>
  <c r="U24" i="2"/>
  <c r="V24" i="2" s="1"/>
  <c r="U15" i="2"/>
  <c r="V15" i="2" s="1"/>
  <c r="N26" i="2"/>
  <c r="O26" i="2" s="1"/>
  <c r="N11" i="2"/>
  <c r="O11" i="2" s="1"/>
  <c r="N27" i="2"/>
  <c r="O27" i="2" s="1"/>
  <c r="N8" i="2"/>
  <c r="O8" i="2" s="1"/>
  <c r="N25" i="2"/>
  <c r="O25" i="2" s="1"/>
  <c r="N28" i="2"/>
  <c r="O28" i="2" s="1"/>
  <c r="N4" i="2"/>
  <c r="O4" i="2" s="1"/>
  <c r="N20" i="2"/>
  <c r="O20" i="2" s="1"/>
  <c r="N19" i="2"/>
  <c r="O19" i="2" s="1"/>
  <c r="N13" i="2"/>
  <c r="O13" i="2" s="1"/>
  <c r="N24" i="2"/>
  <c r="O24" i="2" s="1"/>
  <c r="N12" i="2"/>
  <c r="O12" i="2" s="1"/>
  <c r="N17" i="2"/>
  <c r="O17" i="2" s="1"/>
  <c r="N15" i="2"/>
  <c r="O15" i="2" s="1"/>
  <c r="N18" i="2"/>
  <c r="O18" i="2" s="1"/>
  <c r="N9" i="2"/>
  <c r="O9" i="2" s="1"/>
  <c r="N16" i="2"/>
  <c r="O16" i="2" s="1"/>
  <c r="L8" i="1"/>
  <c r="L9" i="1" s="1"/>
  <c r="K8" i="1"/>
  <c r="K9" i="1" s="1"/>
  <c r="J8" i="1"/>
  <c r="J9" i="1" s="1"/>
</calcChain>
</file>

<file path=xl/sharedStrings.xml><?xml version="1.0" encoding="utf-8"?>
<sst xmlns="http://schemas.openxmlformats.org/spreadsheetml/2006/main" count="177" uniqueCount="94">
  <si>
    <t>Cement</t>
  </si>
  <si>
    <t xml:space="preserve">Iron &amp; Steel </t>
  </si>
  <si>
    <t xml:space="preserve">Aluminium </t>
  </si>
  <si>
    <t>Fertiliser</t>
  </si>
  <si>
    <t>Petrochemical</t>
  </si>
  <si>
    <t>Base demand 2022 MTOE</t>
  </si>
  <si>
    <t>Model</t>
  </si>
  <si>
    <t>GDP MODEL</t>
  </si>
  <si>
    <t>DEMAND ACTIVITY MODEL</t>
  </si>
  <si>
    <t>DemandBase × (1 + AGR)N × (1 + IRR)N (2)</t>
  </si>
  <si>
    <t>AIEE</t>
  </si>
  <si>
    <t>price ($/kg)</t>
  </si>
  <si>
    <t>Worst Case</t>
  </si>
  <si>
    <t>Baseline</t>
  </si>
  <si>
    <t>Best Case</t>
  </si>
  <si>
    <t>Demand 2047</t>
  </si>
  <si>
    <t>AGR for last three and GDP Growth rates fro first 2</t>
  </si>
  <si>
    <t>Total</t>
  </si>
  <si>
    <t>Total for above 5</t>
  </si>
  <si>
    <t>Total demand adjusted for all indutries</t>
  </si>
  <si>
    <t>Total demand</t>
  </si>
  <si>
    <t>Baselinecase Case</t>
  </si>
  <si>
    <t>Best case Case</t>
  </si>
  <si>
    <t xml:space="preserve">demand TWh </t>
  </si>
  <si>
    <t>Energy Source</t>
  </si>
  <si>
    <t>Coal</t>
  </si>
  <si>
    <t>Oil</t>
  </si>
  <si>
    <t>Natural Gas</t>
  </si>
  <si>
    <t>Hydro</t>
  </si>
  <si>
    <t>Nuclear</t>
  </si>
  <si>
    <t>Solar</t>
  </si>
  <si>
    <t>Wind</t>
  </si>
  <si>
    <t>Biomass</t>
  </si>
  <si>
    <t>Storage</t>
  </si>
  <si>
    <t>Worst Case l=0.5</t>
  </si>
  <si>
    <t>lambda=0</t>
  </si>
  <si>
    <t>lambda=0.25</t>
  </si>
  <si>
    <t>lambda=0.5</t>
  </si>
  <si>
    <t>lambda=0.75</t>
  </si>
  <si>
    <t>lambda=1</t>
  </si>
  <si>
    <t>best case l=0.5</t>
  </si>
  <si>
    <t>cuf</t>
  </si>
  <si>
    <t>λ=0.5</t>
  </si>
  <si>
    <t>λ=0.75</t>
  </si>
  <si>
    <t>λ=1</t>
  </si>
  <si>
    <t>GWh</t>
  </si>
  <si>
    <t>Supply GWh</t>
  </si>
  <si>
    <t>Worst Case GWh</t>
  </si>
  <si>
    <t>Baseline GWh</t>
  </si>
  <si>
    <t>Best Case GWh</t>
  </si>
  <si>
    <t>MW Worst Case, λ=0.5</t>
  </si>
  <si>
    <t>MW Bestcase λ=0.5</t>
  </si>
  <si>
    <t xml:space="preserve"> λ=0</t>
  </si>
  <si>
    <t xml:space="preserve"> λ=0.25</t>
  </si>
  <si>
    <t xml:space="preserve"> λ=0.5</t>
  </si>
  <si>
    <t xml:space="preserve"> λ=1</t>
  </si>
  <si>
    <t xml:space="preserve"> λ=0.75</t>
  </si>
  <si>
    <t>*J9</t>
  </si>
  <si>
    <t>Y</t>
  </si>
  <si>
    <t>gdp*energy intensity</t>
  </si>
  <si>
    <t>demand*activity model</t>
  </si>
  <si>
    <t>Sector</t>
  </si>
  <si>
    <t>Demand Mtoe _CAGR Model</t>
  </si>
  <si>
    <t>Demand_Mtoe_Demand_Activity</t>
  </si>
  <si>
    <t>GDP Intensity Model</t>
  </si>
  <si>
    <t>Demand Activity Model</t>
  </si>
  <si>
    <t>Iron &amp; Steel</t>
  </si>
  <si>
    <t>Aluminium</t>
  </si>
  <si>
    <t>MAPE</t>
  </si>
  <si>
    <t>MAE</t>
  </si>
  <si>
    <t>MSE</t>
  </si>
  <si>
    <t>RMSE</t>
  </si>
  <si>
    <t>Total Demand</t>
  </si>
  <si>
    <t>year</t>
  </si>
  <si>
    <t>iron_steel</t>
  </si>
  <si>
    <t>aluminium</t>
  </si>
  <si>
    <t>fertiliser</t>
  </si>
  <si>
    <t>petrochemical</t>
  </si>
  <si>
    <t>cement</t>
  </si>
  <si>
    <t>Total (Mtoe)</t>
  </si>
  <si>
    <t>Total MJ</t>
  </si>
  <si>
    <t>After Correction</t>
  </si>
  <si>
    <t>GDP(in $)</t>
  </si>
  <si>
    <t>Industrial GDP</t>
  </si>
  <si>
    <t>Year</t>
  </si>
  <si>
    <t>MJ/$</t>
  </si>
  <si>
    <t>2016-17</t>
  </si>
  <si>
    <t>2017-18</t>
  </si>
  <si>
    <t>2018-19</t>
  </si>
  <si>
    <t>2019-20</t>
  </si>
  <si>
    <t>2020-21</t>
  </si>
  <si>
    <t>2021-22</t>
  </si>
  <si>
    <t>2022-23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</si>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</sst>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333333"/>
      <name val="Segoe UI"/>
      <family val="2"/>
    </font>
    <font>
      <sz val="11"/>
      <color rgb="FF333333"/>
      <name val="Segoe UI"/>
      <family val="2"/>
    </font>
    <font>
      <b/>
      <sz val="7"/>
      <color rgb="FF333333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333333"/>
      <name val="Segoe UI"/>
      <family val="2"/>
    </font>
    <font>
      <b/>
      <sz val="10"/>
      <color theme="1"/>
      <name val="Calibri"/>
      <family val="2"/>
      <scheme val="minor"/>
    </font>
    <font>
      <b/>
      <sz val="7"/>
      <color rgb="FF333333"/>
      <name val="Arial"/>
      <family val="2"/>
    </font>
    <font>
      <sz val="7"/>
      <color theme="1"/>
      <name val="Arial"/>
      <family val="2"/>
    </font>
    <font>
      <sz val="7"/>
      <color rgb="FF333333"/>
      <name val="Arial"/>
      <family val="2"/>
    </font>
    <font>
      <sz val="8"/>
      <name val="Calibri"/>
      <family val="2"/>
      <scheme val="minor"/>
    </font>
    <font>
      <b/>
      <sz val="10"/>
      <color rgb="FF333333"/>
      <name val="Calibri"/>
      <family val="2"/>
      <scheme val="minor"/>
    </font>
    <font>
      <sz val="10"/>
      <color rgb="FF333333"/>
      <name val="Calibri"/>
      <family val="2"/>
      <scheme val="minor"/>
    </font>
    <font>
      <sz val="7"/>
      <color rgb="FF92D050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horizontal="right"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165" fontId="0" fillId="0" borderId="0" xfId="0" applyNumberFormat="1" applyAlignment="1">
      <alignment wrapText="1"/>
    </xf>
    <xf numFmtId="2" fontId="0" fillId="0" borderId="0" xfId="0" applyNumberFormat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0" fontId="5" fillId="0" borderId="0" xfId="0" applyFont="1"/>
    <xf numFmtId="0" fontId="6" fillId="0" borderId="0" xfId="0" applyFont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8" fillId="0" borderId="2" xfId="0" applyFont="1" applyBorder="1" applyAlignment="1">
      <alignment horizontal="right" vertical="center" wrapText="1"/>
    </xf>
    <xf numFmtId="2" fontId="9" fillId="0" borderId="2" xfId="0" applyNumberFormat="1" applyFont="1" applyBorder="1"/>
    <xf numFmtId="2" fontId="10" fillId="0" borderId="2" xfId="0" applyNumberFormat="1" applyFont="1" applyBorder="1" applyAlignment="1">
      <alignment horizontal="right" vertical="center" wrapText="1"/>
    </xf>
    <xf numFmtId="2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0" fillId="0" borderId="4" xfId="0" applyBorder="1"/>
    <xf numFmtId="0" fontId="7" fillId="0" borderId="0" xfId="0" applyFont="1" applyAlignment="1">
      <alignment wrapText="1"/>
    </xf>
    <xf numFmtId="0" fontId="12" fillId="0" borderId="0" xfId="0" applyFont="1" applyAlignment="1">
      <alignment horizontal="right" vertical="center" wrapText="1"/>
    </xf>
    <xf numFmtId="0" fontId="13" fillId="0" borderId="0" xfId="0" applyFont="1" applyAlignment="1">
      <alignment horizontal="right" vertical="center" wrapText="1"/>
    </xf>
    <xf numFmtId="165" fontId="5" fillId="0" borderId="0" xfId="0" applyNumberFormat="1" applyFont="1"/>
    <xf numFmtId="0" fontId="4" fillId="0" borderId="0" xfId="0" applyFont="1" applyAlignment="1">
      <alignment horizontal="right" vertical="center" wrapText="1"/>
    </xf>
    <xf numFmtId="0" fontId="14" fillId="0" borderId="0" xfId="0" applyFont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Baseline</a:t>
            </a:r>
            <a:r>
              <a:rPr lang="en-IN" baseline="0"/>
              <a:t> </a:t>
            </a:r>
            <a:r>
              <a:rPr lang="en-IN"/>
              <a:t>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Scenarios!$B$2</c:f>
              <c:strCache>
                <c:ptCount val="1"/>
                <c:pt idx="0">
                  <c:v>Iron &amp; Steel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Scenarios!$B$3:$B$28</c:f>
              <c:numCache>
                <c:formatCode>General</c:formatCode>
                <c:ptCount val="26"/>
                <c:pt idx="0">
                  <c:v>36.924579000000001</c:v>
                </c:pt>
                <c:pt idx="1">
                  <c:v>40.322563382474996</c:v>
                </c:pt>
                <c:pt idx="2">
                  <c:v>44.033247277747243</c:v>
                </c:pt>
                <c:pt idx="3">
                  <c:v>48.085406858481939</c:v>
                </c:pt>
                <c:pt idx="4">
                  <c:v>52.510466424633705</c:v>
                </c:pt>
                <c:pt idx="5">
                  <c:v>57.342742097360635</c:v>
                </c:pt>
                <c:pt idx="6">
                  <c:v>62.619707938870221</c:v>
                </c:pt>
                <c:pt idx="7">
                  <c:v>68.382286561944753</c:v>
                </c:pt>
                <c:pt idx="8">
                  <c:v>74.675166482807668</c:v>
                </c:pt>
                <c:pt idx="9">
                  <c:v>81.547148678388041</c:v>
                </c:pt>
                <c:pt idx="10">
                  <c:v>89.051525035516661</c:v>
                </c:pt>
                <c:pt idx="11">
                  <c:v>97.246491626910085</c:v>
                </c:pt>
                <c:pt idx="12">
                  <c:v>106.19560001887643</c:v>
                </c:pt>
                <c:pt idx="13">
                  <c:v>115.96825011061354</c:v>
                </c:pt>
                <c:pt idx="14">
                  <c:v>126.64022832704269</c:v>
                </c:pt>
                <c:pt idx="15">
                  <c:v>138.29429533883882</c:v>
                </c:pt>
                <c:pt idx="16">
                  <c:v>151.02082786739535</c:v>
                </c:pt>
                <c:pt idx="17">
                  <c:v>164.91851955189242</c:v>
                </c:pt>
                <c:pt idx="18">
                  <c:v>180.09514631365525</c:v>
                </c:pt>
                <c:pt idx="19">
                  <c:v>196.66840215316932</c:v>
                </c:pt>
                <c:pt idx="20">
                  <c:v>214.76681186131466</c:v>
                </c:pt>
                <c:pt idx="21">
                  <c:v>234.53072772285219</c:v>
                </c:pt>
                <c:pt idx="22">
                  <c:v>256.11341794154748</c:v>
                </c:pt>
                <c:pt idx="23">
                  <c:v>279.68225522761838</c:v>
                </c:pt>
                <c:pt idx="24">
                  <c:v>305.42001476493982</c:v>
                </c:pt>
                <c:pt idx="25">
                  <c:v>333.52629162368339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3C-42F2-B09D-E4F941467D63}"/>
            </c:ext>
          </c:extLst>
        </c:ser>
        <c:ser>
          <c:idx val="1"/>
          <c:order val="1"/>
          <c:tx>
            <c:strRef>
              <c:f>Scenarios!$C$2</c:f>
              <c:strCache>
                <c:ptCount val="1"/>
                <c:pt idx="0">
                  <c:v>Aluminium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Scenarios!$C$3:$C$28</c:f>
              <c:numCache>
                <c:formatCode>General</c:formatCode>
                <c:ptCount val="26"/>
                <c:pt idx="0">
                  <c:v>4.829762473068655</c:v>
                </c:pt>
                <c:pt idx="1">
                  <c:v>5.3554797033809418</c:v>
                </c:pt>
                <c:pt idx="2">
                  <c:v>5.9384209913541035</c:v>
                </c:pt>
                <c:pt idx="3">
                  <c:v>6.5848151470525025</c:v>
                </c:pt>
                <c:pt idx="4">
                  <c:v>7.3015689834015909</c:v>
                </c:pt>
                <c:pt idx="5">
                  <c:v>8.0963411164603638</c:v>
                </c:pt>
                <c:pt idx="6">
                  <c:v>8.9776237988165128</c:v>
                </c:pt>
                <c:pt idx="7">
                  <c:v>9.9548336605057912</c:v>
                </c:pt>
                <c:pt idx="8">
                  <c:v>11.038412327035013</c:v>
                </c:pt>
                <c:pt idx="9">
                  <c:v>12.239937989626609</c:v>
                </c:pt>
                <c:pt idx="10">
                  <c:v>13.572249119828468</c:v>
                </c:pt>
                <c:pt idx="11">
                  <c:v>15.049581650397235</c:v>
                </c:pt>
                <c:pt idx="12">
                  <c:v>16.687721088252147</c:v>
                </c:pt>
                <c:pt idx="13">
                  <c:v>18.504171184847849</c:v>
                </c:pt>
                <c:pt idx="14">
                  <c:v>20.518340966232937</c:v>
                </c:pt>
                <c:pt idx="15">
                  <c:v>22.751752121236912</c:v>
                </c:pt>
                <c:pt idx="16">
                  <c:v>25.228268963757479</c:v>
                </c:pt>
                <c:pt idx="17">
                  <c:v>27.974353426328001</c:v>
                </c:pt>
                <c:pt idx="18">
                  <c:v>31.019347809607087</c:v>
                </c:pt>
                <c:pt idx="19">
                  <c:v>34.395788309008907</c:v>
                </c:pt>
                <c:pt idx="20">
                  <c:v>38.139752668550365</c:v>
                </c:pt>
                <c:pt idx="21">
                  <c:v>42.291245676645744</c:v>
                </c:pt>
                <c:pt idx="22">
                  <c:v>46.894626622925777</c:v>
                </c:pt>
                <c:pt idx="23">
                  <c:v>51.99908328351794</c:v>
                </c:pt>
                <c:pt idx="24">
                  <c:v>57.659157499387199</c:v>
                </c:pt>
                <c:pt idx="25">
                  <c:v>63.935327963616757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3C-42F2-B09D-E4F941467D63}"/>
            </c:ext>
          </c:extLst>
        </c:ser>
        <c:ser>
          <c:idx val="2"/>
          <c:order val="2"/>
          <c:tx>
            <c:strRef>
              <c:f>Scenarios!$D$2</c:f>
              <c:strCache>
                <c:ptCount val="1"/>
                <c:pt idx="0">
                  <c:v>Fertiliser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Scenarios!$D$3:$D$28</c:f>
              <c:numCache>
                <c:formatCode>General</c:formatCode>
                <c:ptCount val="26"/>
                <c:pt idx="0">
                  <c:v>1.0667169999999999</c:v>
                </c:pt>
                <c:pt idx="1">
                  <c:v>0.88990887059339985</c:v>
                </c:pt>
                <c:pt idx="2">
                  <c:v>0.74240665327431787</c:v>
                </c:pt>
                <c:pt idx="3">
                  <c:v>0.61935289897543022</c:v>
                </c:pt>
                <c:pt idx="4">
                  <c:v>0.51669527984083241</c:v>
                </c:pt>
                <c:pt idx="5">
                  <c:v>0.43105314054627036</c:v>
                </c:pt>
                <c:pt idx="6">
                  <c:v>0.35960616871135409</c:v>
                </c:pt>
                <c:pt idx="7">
                  <c:v>0.30000151816868087</c:v>
                </c:pt>
                <c:pt idx="8">
                  <c:v>0.25027632653252563</c:v>
                </c:pt>
                <c:pt idx="9">
                  <c:v>0.20879307546502482</c:v>
                </c:pt>
                <c:pt idx="10">
                  <c:v>0.17418566496531201</c:v>
                </c:pt>
                <c:pt idx="11">
                  <c:v>0.14531442583444454</c:v>
                </c:pt>
                <c:pt idx="12">
                  <c:v>0.12122858881527049</c:v>
                </c:pt>
                <c:pt idx="13">
                  <c:v>0.10113497446485716</c:v>
                </c:pt>
                <c:pt idx="14">
                  <c:v>8.4371872674301976E-2</c:v>
                </c:pt>
                <c:pt idx="15">
                  <c:v>7.0387251652910945E-2</c:v>
                </c:pt>
                <c:pt idx="16">
                  <c:v>5.8720578768891279E-2</c:v>
                </c:pt>
                <c:pt idx="17">
                  <c:v>4.8987654582063299E-2</c:v>
                </c:pt>
                <c:pt idx="18">
                  <c:v>4.0867960632617217E-2</c:v>
                </c:pt>
                <c:pt idx="19">
                  <c:v>3.4094104331353035E-2</c:v>
                </c:pt>
                <c:pt idx="20">
                  <c:v>2.8443013357252134E-2</c:v>
                </c:pt>
                <c:pt idx="21">
                  <c:v>2.372858958189026E-2</c:v>
                </c:pt>
                <c:pt idx="22">
                  <c:v>1.9795580604409866E-2</c:v>
                </c:pt>
                <c:pt idx="23">
                  <c:v>1.6514467078345051E-2</c:v>
                </c:pt>
                <c:pt idx="24">
                  <c:v>1.3777197463002773E-2</c:v>
                </c:pt>
                <c:pt idx="25">
                  <c:v>1.1493629738949554E-2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3C-42F2-B09D-E4F941467D63}"/>
            </c:ext>
          </c:extLst>
        </c:ser>
        <c:ser>
          <c:idx val="3"/>
          <c:order val="3"/>
          <c:tx>
            <c:strRef>
              <c:f>Scenarios!$E$2</c:f>
              <c:strCache>
                <c:ptCount val="1"/>
                <c:pt idx="0">
                  <c:v>Petrochemical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Scenarios!$E$3:$E$28</c:f>
              <c:numCache>
                <c:formatCode>General</c:formatCode>
                <c:ptCount val="26"/>
                <c:pt idx="0">
                  <c:v>12.70791</c:v>
                </c:pt>
                <c:pt idx="1">
                  <c:v>12.458707249504499</c:v>
                </c:pt>
                <c:pt idx="2">
                  <c:v>12.214391377406352</c:v>
                </c:pt>
                <c:pt idx="3">
                  <c:v>11.974866551775847</c:v>
                </c:pt>
                <c:pt idx="4">
                  <c:v>11.740038819952193</c:v>
                </c:pt>
                <c:pt idx="5">
                  <c:v>11.509816071690988</c:v>
                </c:pt>
                <c:pt idx="6">
                  <c:v>11.284108003034325</c:v>
                </c:pt>
                <c:pt idx="7">
                  <c:v>11.062826080889423</c:v>
                </c:pt>
                <c:pt idx="8">
                  <c:v>10.845883508301876</c:v>
                </c:pt>
                <c:pt idx="9">
                  <c:v>10.6331951904099</c:v>
                </c:pt>
                <c:pt idx="10">
                  <c:v>10.424677701066202</c:v>
                </c:pt>
                <c:pt idx="11">
                  <c:v>10.22024925011441</c:v>
                </c:pt>
                <c:pt idx="12">
                  <c:v>10.019829651307202</c:v>
                </c:pt>
                <c:pt idx="13">
                  <c:v>9.8233402908535847</c:v>
                </c:pt>
                <c:pt idx="14">
                  <c:v>9.630704096582928</c:v>
                </c:pt>
                <c:pt idx="15">
                  <c:v>9.4418455077137367</c:v>
                </c:pt>
                <c:pt idx="16">
                  <c:v>9.2566904452151917</c:v>
                </c:pt>
                <c:pt idx="17">
                  <c:v>9.0751662827499988</c:v>
                </c:pt>
                <c:pt idx="18">
                  <c:v>8.8972018181869572</c:v>
                </c:pt>
                <c:pt idx="19">
                  <c:v>8.7227272456722211</c:v>
                </c:pt>
                <c:pt idx="20">
                  <c:v>8.5516741282482265</c:v>
                </c:pt>
                <c:pt idx="21">
                  <c:v>8.3839753710095692</c:v>
                </c:pt>
                <c:pt idx="22">
                  <c:v>8.2195651947853037</c:v>
                </c:pt>
                <c:pt idx="23">
                  <c:v>8.0583791103373059</c:v>
                </c:pt>
                <c:pt idx="24">
                  <c:v>7.9003538930646346</c:v>
                </c:pt>
                <c:pt idx="25">
                  <c:v>7.745427558203942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3C-42F2-B09D-E4F941467D63}"/>
            </c:ext>
          </c:extLst>
        </c:ser>
        <c:ser>
          <c:idx val="4"/>
          <c:order val="4"/>
          <c:tx>
            <c:strRef>
              <c:f>Scenarios!$F$2</c:f>
              <c:strCache>
                <c:ptCount val="1"/>
                <c:pt idx="0">
                  <c:v>Cement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Scenarios!$F$3:$F$28</c:f>
              <c:numCache>
                <c:formatCode>General</c:formatCode>
                <c:ptCount val="26"/>
                <c:pt idx="0">
                  <c:v>5.946339</c:v>
                </c:pt>
                <c:pt idx="1">
                  <c:v>5.7125534494366805</c:v>
                </c:pt>
                <c:pt idx="2">
                  <c:v>5.4879593835250411</c:v>
                </c:pt>
                <c:pt idx="3">
                  <c:v>5.2721954309574963</c:v>
                </c:pt>
                <c:pt idx="4">
                  <c:v>5.0649144280574232</c:v>
                </c:pt>
                <c:pt idx="5">
                  <c:v>4.8657828601936481</c:v>
                </c:pt>
                <c:pt idx="6">
                  <c:v>4.6744803251562175</c:v>
                </c:pt>
                <c:pt idx="7">
                  <c:v>4.490699017630015</c:v>
                </c:pt>
                <c:pt idx="8">
                  <c:v>4.3141432339367558</c:v>
                </c:pt>
                <c:pt idx="9">
                  <c:v>4.1445288962484854</c:v>
                </c:pt>
                <c:pt idx="10">
                  <c:v>3.9815830955070473</c:v>
                </c:pt>
                <c:pt idx="11">
                  <c:v>3.8250436523140632</c:v>
                </c:pt>
                <c:pt idx="12">
                  <c:v>3.674658695084922</c:v>
                </c:pt>
                <c:pt idx="13">
                  <c:v>3.5301862547880072</c:v>
                </c:pt>
                <c:pt idx="14">
                  <c:v>3.391393875617112</c:v>
                </c:pt>
                <c:pt idx="15">
                  <c:v>3.2580582409706147</c:v>
                </c:pt>
                <c:pt idx="16">
                  <c:v>3.1299648141356022</c:v>
                </c:pt>
                <c:pt idx="17">
                  <c:v>3.0069074930988249</c:v>
                </c:pt>
                <c:pt idx="18">
                  <c:v>2.8886882789290511</c:v>
                </c:pt>
                <c:pt idx="19">
                  <c:v>2.7751169571972691</c:v>
                </c:pt>
                <c:pt idx="20">
                  <c:v>2.6660107919221363</c:v>
                </c:pt>
                <c:pt idx="21">
                  <c:v>2.5611942315482201</c:v>
                </c:pt>
                <c:pt idx="22">
                  <c:v>2.4604986264839779</c:v>
                </c:pt>
                <c:pt idx="23">
                  <c:v>2.3637619577449689</c:v>
                </c:pt>
                <c:pt idx="24">
                  <c:v>2.270828576265703</c:v>
                </c:pt>
                <c:pt idx="25">
                  <c:v>2.1815489524606697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3C-42F2-B09D-E4F941467D63}"/>
            </c:ext>
          </c:extLst>
        </c:ser>
        <c:ser>
          <c:idx val="5"/>
          <c:order val="5"/>
          <c:tx>
            <c:strRef>
              <c:f>Scenarios!$G$2</c:f>
              <c:strCache>
                <c:ptCount val="1"/>
                <c:pt idx="0">
                  <c:v>Total for above 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Scenarios!$G$3:$G$28</c:f>
              <c:numCache>
                <c:formatCode>General</c:formatCode>
                <c:ptCount val="26"/>
                <c:pt idx="0">
                  <c:v>70.747082999999989</c:v>
                </c:pt>
                <c:pt idx="1">
                  <c:v>64.739212655390517</c:v>
                </c:pt>
                <c:pt idx="2">
                  <c:v>68.416425683307054</c:v>
                </c:pt>
                <c:pt idx="3">
                  <c:v>72.536636887243205</c:v>
                </c:pt>
                <c:pt idx="4">
                  <c:v>77.133683935885742</c:v>
                </c:pt>
                <c:pt idx="5">
                  <c:v>82.2457352862519</c:v>
                </c:pt>
                <c:pt idx="6">
                  <c:v>87.915526234588611</c:v>
                </c:pt>
                <c:pt idx="7">
                  <c:v>94.19064683913868</c:v>
                </c:pt>
                <c:pt idx="8">
                  <c:v>101.12388187861386</c:v>
                </c:pt>
                <c:pt idx="9">
                  <c:v>108.77360383013806</c:v>
                </c:pt>
                <c:pt idx="10">
                  <c:v>117.20422061688369</c:v>
                </c:pt>
                <c:pt idx="11">
                  <c:v>126.48668060557023</c:v>
                </c:pt>
                <c:pt idx="12">
                  <c:v>136.69903804233599</c:v>
                </c:pt>
                <c:pt idx="13">
                  <c:v>147.92708281556787</c:v>
                </c:pt>
                <c:pt idx="14">
                  <c:v>160.26503913814997</c:v>
                </c:pt>
                <c:pt idx="15">
                  <c:v>173.81633846041299</c:v>
                </c:pt>
                <c:pt idx="16">
                  <c:v>188.6944726692725</c:v>
                </c:pt>
                <c:pt idx="17">
                  <c:v>205.02393440865129</c:v>
                </c:pt>
                <c:pt idx="18">
                  <c:v>222.94125218101098</c:v>
                </c:pt>
                <c:pt idx="19">
                  <c:v>242.59612876937908</c:v>
                </c:pt>
                <c:pt idx="20">
                  <c:v>264.15269246339261</c:v>
                </c:pt>
                <c:pt idx="21">
                  <c:v>287.7908715916376</c:v>
                </c:pt>
                <c:pt idx="22">
                  <c:v>313.70790396634698</c:v>
                </c:pt>
                <c:pt idx="23">
                  <c:v>342.11999404629694</c:v>
                </c:pt>
                <c:pt idx="24">
                  <c:v>373.2641319311204</c:v>
                </c:pt>
                <c:pt idx="25">
                  <c:v>407.40008972770369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3C-42F2-B09D-E4F941467D63}"/>
            </c:ext>
          </c:extLst>
        </c:ser>
        <c:ser>
          <c:idx val="6"/>
          <c:order val="6"/>
          <c:tx>
            <c:strRef>
              <c:f>Scenarios!$H$2</c:f>
              <c:strCache>
                <c:ptCount val="1"/>
                <c:pt idx="0">
                  <c:v>Total demand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Scenarios!$H$3:$H$28</c:f>
              <c:numCache>
                <c:formatCode>General</c:formatCode>
                <c:ptCount val="26"/>
                <c:pt idx="0">
                  <c:v>99.643778873239427</c:v>
                </c:pt>
                <c:pt idx="1">
                  <c:v>91.181989655479612</c:v>
                </c:pt>
                <c:pt idx="2">
                  <c:v>96.361162934235296</c:v>
                </c:pt>
                <c:pt idx="3">
                  <c:v>102.16427730597636</c:v>
                </c:pt>
                <c:pt idx="4">
                  <c:v>108.63899145899401</c:v>
                </c:pt>
                <c:pt idx="5">
                  <c:v>115.83906378345338</c:v>
                </c:pt>
                <c:pt idx="6">
                  <c:v>123.82468483744876</c:v>
                </c:pt>
                <c:pt idx="7">
                  <c:v>132.66288287202633</c:v>
                </c:pt>
                <c:pt idx="8">
                  <c:v>142.42800264593501</c:v>
                </c:pt>
                <c:pt idx="9">
                  <c:v>153.20225891568742</c:v>
                </c:pt>
                <c:pt idx="10">
                  <c:v>165.07636706603338</c:v>
                </c:pt>
                <c:pt idx="11">
                  <c:v>178.15025437404259</c:v>
                </c:pt>
                <c:pt idx="12">
                  <c:v>192.53385639765634</c:v>
                </c:pt>
                <c:pt idx="13">
                  <c:v>208.34800396558856</c:v>
                </c:pt>
                <c:pt idx="14">
                  <c:v>225.72540723683096</c:v>
                </c:pt>
                <c:pt idx="15">
                  <c:v>244.81174431044084</c:v>
                </c:pt>
                <c:pt idx="16">
                  <c:v>265.76686291446833</c:v>
                </c:pt>
                <c:pt idx="17">
                  <c:v>288.76610480091733</c:v>
                </c:pt>
                <c:pt idx="18">
                  <c:v>314.00176363522672</c:v>
                </c:pt>
                <c:pt idx="19">
                  <c:v>341.68468840757617</c:v>
                </c:pt>
                <c:pt idx="20">
                  <c:v>372.04604572308818</c:v>
                </c:pt>
                <c:pt idx="21">
                  <c:v>405.33925576286987</c:v>
                </c:pt>
                <c:pt idx="22">
                  <c:v>441.84211826246053</c:v>
                </c:pt>
                <c:pt idx="23">
                  <c:v>481.8591465440802</c:v>
                </c:pt>
                <c:pt idx="24">
                  <c:v>525.72412948045132</c:v>
                </c:pt>
                <c:pt idx="25">
                  <c:v>573.80294327845593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D3C-42F2-B09D-E4F941467D63}"/>
            </c:ext>
          </c:extLst>
        </c:ser>
        <c:ser>
          <c:idx val="7"/>
          <c:order val="7"/>
          <c:tx>
            <c:strRef>
              <c:f>Scenarios!$I$2</c:f>
              <c:strCache>
                <c:ptCount val="1"/>
                <c:pt idx="0">
                  <c:v>Iron &amp; Steel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Scenarios!$I$3:$I$28</c:f>
              <c:numCache>
                <c:formatCode>General</c:formatCode>
                <c:ptCount val="26"/>
                <c:pt idx="0">
                  <c:v>80.644041172194648</c:v>
                </c:pt>
                <c:pt idx="1">
                  <c:v>91.857595097188309</c:v>
                </c:pt>
                <c:pt idx="2">
                  <c:v>104.63039369545233</c:v>
                </c:pt>
                <c:pt idx="3">
                  <c:v>119.17924993880499</c:v>
                </c:pt>
                <c:pt idx="4">
                  <c:v>135.75112464279582</c:v>
                </c:pt>
                <c:pt idx="5">
                  <c:v>154.62731852437656</c:v>
                </c:pt>
                <c:pt idx="6">
                  <c:v>176.12824716519108</c:v>
                </c:pt>
                <c:pt idx="7">
                  <c:v>200.61887993351093</c:v>
                </c:pt>
                <c:pt idx="8">
                  <c:v>228.51493518826558</c:v>
                </c:pt>
                <c:pt idx="9">
                  <c:v>260.28993692619395</c:v>
                </c:pt>
                <c:pt idx="10">
                  <c:v>296.48325265578109</c:v>
                </c:pt>
                <c:pt idx="11">
                  <c:v>337.70924893756745</c:v>
                </c:pt>
                <c:pt idx="12">
                  <c:v>384.66772000233618</c:v>
                </c:pt>
                <c:pt idx="13">
                  <c:v>438.155766468661</c:v>
                </c:pt>
                <c:pt idx="14">
                  <c:v>499.08132579612817</c:v>
                </c:pt>
                <c:pt idx="15">
                  <c:v>568.47858414808002</c:v>
                </c:pt>
                <c:pt idx="16">
                  <c:v>647.52553127387023</c:v>
                </c:pt>
                <c:pt idx="17">
                  <c:v>737.56395639750201</c:v>
                </c:pt>
                <c:pt idx="18">
                  <c:v>840.12222453457446</c:v>
                </c:pt>
                <c:pt idx="19">
                  <c:v>956.9412198561073</c:v>
                </c:pt>
                <c:pt idx="20">
                  <c:v>1090.0038964770988</c:v>
                </c:pt>
                <c:pt idx="21">
                  <c:v>1241.5689382822393</c:v>
                </c:pt>
                <c:pt idx="22">
                  <c:v>1414.2090991503842</c:v>
                </c:pt>
                <c:pt idx="23">
                  <c:v>1610.8548743872454</c:v>
                </c:pt>
                <c:pt idx="24">
                  <c:v>1834.8442446707918</c:v>
                </c:pt>
                <c:pt idx="25">
                  <c:v>2089.9793368922656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D3C-42F2-B09D-E4F941467D63}"/>
            </c:ext>
          </c:extLst>
        </c:ser>
        <c:ser>
          <c:idx val="8"/>
          <c:order val="8"/>
          <c:tx>
            <c:strRef>
              <c:f>Scenarios!$J$2</c:f>
              <c:strCache>
                <c:ptCount val="1"/>
                <c:pt idx="0">
                  <c:v>Aluminium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Scenarios!$J$3:$J$28</c:f>
              <c:numCache>
                <c:formatCode>General</c:formatCode>
                <c:ptCount val="26"/>
                <c:pt idx="0">
                  <c:v>6.2199517779657096</c:v>
                </c:pt>
                <c:pt idx="1">
                  <c:v>7.1939900064433617</c:v>
                </c:pt>
                <c:pt idx="2">
                  <c:v>8.3205616474623856</c:v>
                </c:pt>
                <c:pt idx="3">
                  <c:v>9.6235532808933488</c:v>
                </c:pt>
                <c:pt idx="4">
                  <c:v>11.130592101127965</c:v>
                </c:pt>
                <c:pt idx="5">
                  <c:v>12.873631693572506</c:v>
                </c:pt>
                <c:pt idx="6">
                  <c:v>14.889629543154266</c:v>
                </c:pt>
                <c:pt idx="7">
                  <c:v>17.221330639982682</c:v>
                </c:pt>
                <c:pt idx="8">
                  <c:v>19.918173796873333</c:v>
                </c:pt>
                <c:pt idx="9">
                  <c:v>23.037339895289897</c:v>
                </c:pt>
                <c:pt idx="10">
                  <c:v>26.644964285552401</c:v>
                </c:pt>
                <c:pt idx="11">
                  <c:v>30.817539047705623</c:v>
                </c:pt>
                <c:pt idx="12">
                  <c:v>35.64353484503728</c:v>
                </c:pt>
                <c:pt idx="13">
                  <c:v>41.225276758235282</c:v>
                </c:pt>
                <c:pt idx="14">
                  <c:v>47.681113873298159</c:v>
                </c:pt>
                <c:pt idx="15">
                  <c:v>55.147928624742782</c:v>
                </c:pt>
                <c:pt idx="16">
                  <c:v>63.784039099448883</c:v>
                </c:pt>
                <c:pt idx="17">
                  <c:v>73.772555838383468</c:v>
                </c:pt>
                <c:pt idx="18">
                  <c:v>85.325264310118499</c:v>
                </c:pt>
                <c:pt idx="19">
                  <c:v>98.687115375818749</c:v>
                </c:pt>
                <c:pt idx="20">
                  <c:v>114.14141895655659</c:v>
                </c:pt>
                <c:pt idx="21">
                  <c:v>132.0158510237344</c:v>
                </c:pt>
                <c:pt idx="22">
                  <c:v>152.68940127820017</c:v>
                </c:pt>
                <c:pt idx="23">
                  <c:v>176.60040882896507</c:v>
                </c:pt>
                <c:pt idx="24">
                  <c:v>204.25585625117219</c:v>
                </c:pt>
                <c:pt idx="25">
                  <c:v>236.24211908424945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D3C-42F2-B09D-E4F941467D63}"/>
            </c:ext>
          </c:extLst>
        </c:ser>
        <c:ser>
          <c:idx val="9"/>
          <c:order val="9"/>
          <c:tx>
            <c:strRef>
              <c:f>Scenarios!$K$2</c:f>
              <c:strCache>
                <c:ptCount val="1"/>
                <c:pt idx="0">
                  <c:v>Fertiliser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Scenarios!$K$3:$K$28</c:f>
              <c:numCache>
                <c:formatCode>General</c:formatCode>
                <c:ptCount val="26"/>
                <c:pt idx="0">
                  <c:v>1.0667169999999999</c:v>
                </c:pt>
                <c:pt idx="1">
                  <c:v>0.88999783479119987</c:v>
                </c:pt>
                <c:pt idx="2">
                  <c:v>0.74255509749354687</c:v>
                </c:pt>
                <c:pt idx="3">
                  <c:v>0.61953866769014188</c:v>
                </c:pt>
                <c:pt idx="4">
                  <c:v>0.51690192695311965</c:v>
                </c:pt>
                <c:pt idx="5">
                  <c:v>0.43126864556173333</c:v>
                </c:pt>
                <c:pt idx="6">
                  <c:v>0.3598219216186449</c:v>
                </c:pt>
                <c:pt idx="7">
                  <c:v>0.30021151922300182</c:v>
                </c:pt>
                <c:pt idx="8">
                  <c:v>0.25047655759479631</c:v>
                </c:pt>
                <c:pt idx="9">
                  <c:v>0.2089810080136737</c:v>
                </c:pt>
                <c:pt idx="10">
                  <c:v>0.17435987674767719</c:v>
                </c:pt>
                <c:pt idx="11">
                  <c:v>0.14547430366244579</c:v>
                </c:pt>
                <c:pt idx="12">
                  <c:v>0.12137409948218159</c:v>
                </c:pt>
                <c:pt idx="13">
                  <c:v>0.10126648936772667</c:v>
                </c:pt>
                <c:pt idx="14">
                  <c:v>8.4490034633537103E-2</c:v>
                </c:pt>
                <c:pt idx="15">
                  <c:v>7.049287475992369E-2</c:v>
                </c:pt>
                <c:pt idx="16">
                  <c:v>5.8814573972796262E-2</c:v>
                </c:pt>
                <c:pt idx="17">
                  <c:v>4.9070975235189405E-2</c:v>
                </c:pt>
                <c:pt idx="18">
                  <c:v>4.0941563423486427E-2</c:v>
                </c:pt>
                <c:pt idx="19">
                  <c:v>3.4158922000745738E-2</c:v>
                </c:pt>
                <c:pt idx="20">
                  <c:v>2.8499936365001397E-2</c:v>
                </c:pt>
                <c:pt idx="21">
                  <c:v>2.3778454507182523E-2</c:v>
                </c:pt>
                <c:pt idx="22">
                  <c:v>1.9839163551413817E-2</c:v>
                </c:pt>
                <c:pt idx="23">
                  <c:v>1.6552480746839876E-2</c:v>
                </c:pt>
                <c:pt idx="24">
                  <c:v>1.3810290850441602E-2</c:v>
                </c:pt>
                <c:pt idx="25">
                  <c:v>1.1522389682296E-2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D3C-42F2-B09D-E4F941467D63}"/>
            </c:ext>
          </c:extLst>
        </c:ser>
        <c:ser>
          <c:idx val="10"/>
          <c:order val="10"/>
          <c:tx>
            <c:strRef>
              <c:f>Scenarios!$L$2</c:f>
              <c:strCache>
                <c:ptCount val="1"/>
                <c:pt idx="0">
                  <c:v>Petrochemical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Scenarios!$L$3:$L$28</c:f>
              <c:numCache>
                <c:formatCode>General</c:formatCode>
                <c:ptCount val="26"/>
                <c:pt idx="0">
                  <c:v>12.70791</c:v>
                </c:pt>
                <c:pt idx="1">
                  <c:v>12.461197745706299</c:v>
                </c:pt>
                <c:pt idx="2">
                  <c:v>12.219275180387312</c:v>
                </c:pt>
                <c:pt idx="3">
                  <c:v>11.982049316686009</c:v>
                </c:pt>
                <c:pt idx="4">
                  <c:v>11.749428972508415</c:v>
                </c:pt>
                <c:pt idx="5">
                  <c:v>11.521324735976107</c:v>
                </c:pt>
                <c:pt idx="6">
                  <c:v>11.297648931059134</c:v>
                </c:pt>
                <c:pt idx="7">
                  <c:v>11.078315583876124</c:v>
                </c:pt>
                <c:pt idx="8">
                  <c:v>10.863240389648663</c:v>
                </c:pt>
                <c:pt idx="9">
                  <c:v>10.652340680297195</c:v>
                </c:pt>
                <c:pt idx="10">
                  <c:v>10.445535392666056</c:v>
                </c:pt>
                <c:pt idx="11">
                  <c:v>10.24274503736536</c:v>
                </c:pt>
                <c:pt idx="12">
                  <c:v>10.043891668217794</c:v>
                </c:pt>
                <c:pt idx="13">
                  <c:v>9.8488988522985963</c:v>
                </c:pt>
                <c:pt idx="14">
                  <c:v>9.6576916405571502</c:v>
                </c:pt>
                <c:pt idx="15">
                  <c:v>9.470196539008958</c:v>
                </c:pt>
                <c:pt idx="16">
                  <c:v>9.2863414804868789</c:v>
                </c:pt>
                <c:pt idx="17">
                  <c:v>9.1060557969408009</c:v>
                </c:pt>
                <c:pt idx="18">
                  <c:v>8.9292701922750872</c:v>
                </c:pt>
                <c:pt idx="19">
                  <c:v>8.755916715713342</c:v>
                </c:pt>
                <c:pt idx="20">
                  <c:v>8.585928735680314</c:v>
                </c:pt>
                <c:pt idx="21">
                  <c:v>8.4192409141908033</c:v>
                </c:pt>
                <c:pt idx="22">
                  <c:v>8.2557891817358371</c:v>
                </c:pt>
                <c:pt idx="23">
                  <c:v>8.0955107126563757</c:v>
                </c:pt>
                <c:pt idx="24">
                  <c:v>7.9383439009951147</c:v>
                </c:pt>
                <c:pt idx="25">
                  <c:v>7.7842283368171232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D3C-42F2-B09D-E4F941467D63}"/>
            </c:ext>
          </c:extLst>
        </c:ser>
        <c:ser>
          <c:idx val="11"/>
          <c:order val="11"/>
          <c:tx>
            <c:strRef>
              <c:f>Scenarios!$M$2</c:f>
              <c:strCache>
                <c:ptCount val="1"/>
                <c:pt idx="0">
                  <c:v>Cement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Scenarios!$M$3:$M$28</c:f>
              <c:numCache>
                <c:formatCode>General</c:formatCode>
                <c:ptCount val="26"/>
                <c:pt idx="0">
                  <c:v>5.946339</c:v>
                </c:pt>
                <c:pt idx="1">
                  <c:v>5.7142665302391897</c:v>
                </c:pt>
                <c:pt idx="2">
                  <c:v>5.4912513360929855</c:v>
                </c:pt>
                <c:pt idx="3">
                  <c:v>5.2769399321107278</c:v>
                </c:pt>
                <c:pt idx="4">
                  <c:v>5.0709926285976969</c:v>
                </c:pt>
                <c:pt idx="5">
                  <c:v>4.8730829931972384</c:v>
                </c:pt>
                <c:pt idx="6">
                  <c:v>4.6828973334861645</c:v>
                </c:pt>
                <c:pt idx="7">
                  <c:v>4.5001341997633055</c:v>
                </c:pt>
                <c:pt idx="8">
                  <c:v>4.3245039072431259</c:v>
                </c:pt>
                <c:pt idx="9">
                  <c:v>4.1557280768970619</c:v>
                </c:pt>
                <c:pt idx="10">
                  <c:v>3.9935391942148186</c:v>
                </c:pt>
                <c:pt idx="11">
                  <c:v>3.8376801851862328</c:v>
                </c:pt>
                <c:pt idx="12">
                  <c:v>3.6879040088316244</c:v>
                </c:pt>
                <c:pt idx="13">
                  <c:v>3.5439732656347851</c:v>
                </c:pt>
                <c:pt idx="14">
                  <c:v>3.4056598212579758</c:v>
                </c:pt>
                <c:pt idx="15">
                  <c:v>3.2727444449424818</c:v>
                </c:pt>
                <c:pt idx="16">
                  <c:v>3.1450164620216006</c:v>
                </c:pt>
                <c:pt idx="17">
                  <c:v>3.0222734199952783</c:v>
                </c:pt>
                <c:pt idx="18">
                  <c:v>2.9043207676371208</c:v>
                </c:pt>
                <c:pt idx="19">
                  <c:v>2.7909715466251392</c:v>
                </c:pt>
                <c:pt idx="20">
                  <c:v>2.6820460952074789</c:v>
                </c:pt>
                <c:pt idx="21">
                  <c:v>2.5773717634334012</c:v>
                </c:pt>
                <c:pt idx="22">
                  <c:v>2.4767826394981922</c:v>
                </c:pt>
                <c:pt idx="23">
                  <c:v>2.3801192867682111</c:v>
                </c:pt>
                <c:pt idx="24">
                  <c:v>2.2872284910692717</c:v>
                </c:pt>
                <c:pt idx="25">
                  <c:v>2.1979630178378038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D3C-42F2-B09D-E4F941467D63}"/>
            </c:ext>
          </c:extLst>
        </c:ser>
        <c:ser>
          <c:idx val="12"/>
          <c:order val="12"/>
          <c:tx>
            <c:strRef>
              <c:f>Scenarios!$N$2</c:f>
              <c:strCache>
                <c:ptCount val="1"/>
                <c:pt idx="0">
                  <c:v>Total for above 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Scenarios!$N$3:$N$28</c:f>
              <c:numCache>
                <c:formatCode>General</c:formatCode>
                <c:ptCount val="26"/>
                <c:pt idx="0">
                  <c:v>70.747082999999989</c:v>
                </c:pt>
                <c:pt idx="1">
                  <c:v>118.11704721436836</c:v>
                </c:pt>
                <c:pt idx="2">
                  <c:v>131.40403695688855</c:v>
                </c:pt>
                <c:pt idx="3">
                  <c:v>146.68133113618524</c:v>
                </c:pt>
                <c:pt idx="4">
                  <c:v>164.21904027198303</c:v>
                </c:pt>
                <c:pt idx="5">
                  <c:v>184.32662659268416</c:v>
                </c:pt>
                <c:pt idx="6">
                  <c:v>207.35824489450928</c:v>
                </c:pt>
                <c:pt idx="7">
                  <c:v>233.71887187635605</c:v>
                </c:pt>
                <c:pt idx="8">
                  <c:v>263.8713298396255</c:v>
                </c:pt>
                <c:pt idx="9">
                  <c:v>298.34432658669175</c:v>
                </c:pt>
                <c:pt idx="10">
                  <c:v>337.74165140496206</c:v>
                </c:pt>
                <c:pt idx="11">
                  <c:v>382.75268751148712</c:v>
                </c:pt>
                <c:pt idx="12">
                  <c:v>434.16442462390506</c:v>
                </c:pt>
                <c:pt idx="13">
                  <c:v>492.87518183419741</c:v>
                </c:pt>
                <c:pt idx="14">
                  <c:v>559.91028116587495</c:v>
                </c:pt>
                <c:pt idx="15">
                  <c:v>636.43994663153421</c:v>
                </c:pt>
                <c:pt idx="16">
                  <c:v>723.79974288980031</c:v>
                </c:pt>
                <c:pt idx="17">
                  <c:v>823.51391242805676</c:v>
                </c:pt>
                <c:pt idx="18">
                  <c:v>937.3220213680288</c:v>
                </c:pt>
                <c:pt idx="19">
                  <c:v>1067.209382416265</c:v>
                </c:pt>
                <c:pt idx="20">
                  <c:v>1215.4417902009081</c:v>
                </c:pt>
                <c:pt idx="21">
                  <c:v>1384.605180438105</c:v>
                </c:pt>
                <c:pt idx="22">
                  <c:v>1577.6509114133698</c:v>
                </c:pt>
                <c:pt idx="23">
                  <c:v>1797.9474656963819</c:v>
                </c:pt>
                <c:pt idx="24">
                  <c:v>2049.3394836048788</c:v>
                </c:pt>
                <c:pt idx="25">
                  <c:v>2336.2151697208528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D3C-42F2-B09D-E4F941467D63}"/>
            </c:ext>
          </c:extLst>
        </c:ser>
        <c:ser>
          <c:idx val="13"/>
          <c:order val="13"/>
          <c:tx>
            <c:strRef>
              <c:f>Scenarios!$O$2</c:f>
              <c:strCache>
                <c:ptCount val="1"/>
                <c:pt idx="0">
                  <c:v>Total demand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Scenarios!$O$3:$O$28</c:f>
              <c:numCache>
                <c:formatCode>General</c:formatCode>
                <c:ptCount val="26"/>
                <c:pt idx="0">
                  <c:v>99.643778873239427</c:v>
                </c:pt>
                <c:pt idx="1">
                  <c:v>166.36203833009628</c:v>
                </c:pt>
                <c:pt idx="2">
                  <c:v>185.07610838998389</c:v>
                </c:pt>
                <c:pt idx="3">
                  <c:v>206.59342413547216</c:v>
                </c:pt>
                <c:pt idx="4">
                  <c:v>231.29442291828596</c:v>
                </c:pt>
                <c:pt idx="5">
                  <c:v>259.61496703194956</c:v>
                </c:pt>
                <c:pt idx="6">
                  <c:v>292.05386604860462</c:v>
                </c:pt>
                <c:pt idx="7">
                  <c:v>329.18150968500851</c:v>
                </c:pt>
                <c:pt idx="8">
                  <c:v>371.64976033750071</c:v>
                </c:pt>
                <c:pt idx="9">
                  <c:v>420.20327688266445</c:v>
                </c:pt>
                <c:pt idx="10">
                  <c:v>475.69246676755222</c:v>
                </c:pt>
                <c:pt idx="11">
                  <c:v>539.08829226970022</c:v>
                </c:pt>
                <c:pt idx="12">
                  <c:v>611.49918961113394</c:v>
                </c:pt>
                <c:pt idx="13">
                  <c:v>694.19039694957382</c:v>
                </c:pt>
                <c:pt idx="14">
                  <c:v>788.6060298110915</c:v>
                </c:pt>
                <c:pt idx="15">
                  <c:v>896.3942910303299</c:v>
                </c:pt>
                <c:pt idx="16">
                  <c:v>1019.4362575912681</c:v>
                </c:pt>
                <c:pt idx="17">
                  <c:v>1159.8787498986715</c:v>
                </c:pt>
                <c:pt idx="18">
                  <c:v>1320.1718610817309</c:v>
                </c:pt>
                <c:pt idx="19">
                  <c:v>1503.1118062200917</c:v>
                </c:pt>
                <c:pt idx="20">
                  <c:v>1711.8898453533918</c:v>
                </c:pt>
                <c:pt idx="21">
                  <c:v>1950.1481414621198</c:v>
                </c:pt>
                <c:pt idx="22">
                  <c:v>2222.0435372019297</c:v>
                </c:pt>
                <c:pt idx="23">
                  <c:v>2532.3203742202563</c:v>
                </c:pt>
                <c:pt idx="24">
                  <c:v>2886.3936388801112</c:v>
                </c:pt>
                <c:pt idx="25">
                  <c:v>3290.443901015286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D3C-42F2-B09D-E4F941467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497631"/>
        <c:axId val="211498591"/>
      </c:lineChart>
      <c:catAx>
        <c:axId val="21149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98591"/>
        <c:crosses val="autoZero"/>
        <c:auto val="1"/>
        <c:lblAlgn val="ctr"/>
        <c:lblOffset val="100"/>
        <c:noMultiLvlLbl val="0"/>
      </c:catAx>
      <c:valAx>
        <c:axId val="21149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Mtoe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9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Best CaseScenario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Scenarios!$B$2</c:f>
              <c:strCache>
                <c:ptCount val="1"/>
                <c:pt idx="0">
                  <c:v>Iron &amp; Steel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Scenarios!$B$3:$B$28</c:f>
              <c:numCache>
                <c:formatCode>General</c:formatCode>
                <c:ptCount val="26"/>
                <c:pt idx="0">
                  <c:v>36.924579000000001</c:v>
                </c:pt>
                <c:pt idx="1">
                  <c:v>40.322563382474996</c:v>
                </c:pt>
                <c:pt idx="2">
                  <c:v>44.033247277747243</c:v>
                </c:pt>
                <c:pt idx="3">
                  <c:v>48.085406858481939</c:v>
                </c:pt>
                <c:pt idx="4">
                  <c:v>52.510466424633705</c:v>
                </c:pt>
                <c:pt idx="5">
                  <c:v>57.342742097360635</c:v>
                </c:pt>
                <c:pt idx="6">
                  <c:v>62.619707938870221</c:v>
                </c:pt>
                <c:pt idx="7">
                  <c:v>68.382286561944753</c:v>
                </c:pt>
                <c:pt idx="8">
                  <c:v>74.675166482807668</c:v>
                </c:pt>
                <c:pt idx="9">
                  <c:v>81.547148678388041</c:v>
                </c:pt>
                <c:pt idx="10">
                  <c:v>89.051525035516661</c:v>
                </c:pt>
                <c:pt idx="11">
                  <c:v>97.246491626910085</c:v>
                </c:pt>
                <c:pt idx="12">
                  <c:v>106.19560001887643</c:v>
                </c:pt>
                <c:pt idx="13">
                  <c:v>115.96825011061354</c:v>
                </c:pt>
                <c:pt idx="14">
                  <c:v>126.64022832704269</c:v>
                </c:pt>
                <c:pt idx="15">
                  <c:v>138.29429533883882</c:v>
                </c:pt>
                <c:pt idx="16">
                  <c:v>151.02082786739535</c:v>
                </c:pt>
                <c:pt idx="17">
                  <c:v>164.91851955189242</c:v>
                </c:pt>
                <c:pt idx="18">
                  <c:v>180.09514631365525</c:v>
                </c:pt>
                <c:pt idx="19">
                  <c:v>196.66840215316932</c:v>
                </c:pt>
                <c:pt idx="20">
                  <c:v>214.76681186131466</c:v>
                </c:pt>
                <c:pt idx="21">
                  <c:v>234.53072772285219</c:v>
                </c:pt>
                <c:pt idx="22">
                  <c:v>256.11341794154748</c:v>
                </c:pt>
                <c:pt idx="23">
                  <c:v>279.68225522761838</c:v>
                </c:pt>
                <c:pt idx="24">
                  <c:v>305.42001476493982</c:v>
                </c:pt>
                <c:pt idx="25">
                  <c:v>333.52629162368339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F3-4E24-A71F-A8AF22D87381}"/>
            </c:ext>
          </c:extLst>
        </c:ser>
        <c:ser>
          <c:idx val="1"/>
          <c:order val="1"/>
          <c:tx>
            <c:strRef>
              <c:f>Scenarios!$C$2</c:f>
              <c:strCache>
                <c:ptCount val="1"/>
                <c:pt idx="0">
                  <c:v>Aluminium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Scenarios!$C$3:$C$28</c:f>
              <c:numCache>
                <c:formatCode>General</c:formatCode>
                <c:ptCount val="26"/>
                <c:pt idx="0">
                  <c:v>4.829762473068655</c:v>
                </c:pt>
                <c:pt idx="1">
                  <c:v>5.3554797033809418</c:v>
                </c:pt>
                <c:pt idx="2">
                  <c:v>5.9384209913541035</c:v>
                </c:pt>
                <c:pt idx="3">
                  <c:v>6.5848151470525025</c:v>
                </c:pt>
                <c:pt idx="4">
                  <c:v>7.3015689834015909</c:v>
                </c:pt>
                <c:pt idx="5">
                  <c:v>8.0963411164603638</c:v>
                </c:pt>
                <c:pt idx="6">
                  <c:v>8.9776237988165128</c:v>
                </c:pt>
                <c:pt idx="7">
                  <c:v>9.9548336605057912</c:v>
                </c:pt>
                <c:pt idx="8">
                  <c:v>11.038412327035013</c:v>
                </c:pt>
                <c:pt idx="9">
                  <c:v>12.239937989626609</c:v>
                </c:pt>
                <c:pt idx="10">
                  <c:v>13.572249119828468</c:v>
                </c:pt>
                <c:pt idx="11">
                  <c:v>15.049581650397235</c:v>
                </c:pt>
                <c:pt idx="12">
                  <c:v>16.687721088252147</c:v>
                </c:pt>
                <c:pt idx="13">
                  <c:v>18.504171184847849</c:v>
                </c:pt>
                <c:pt idx="14">
                  <c:v>20.518340966232937</c:v>
                </c:pt>
                <c:pt idx="15">
                  <c:v>22.751752121236912</c:v>
                </c:pt>
                <c:pt idx="16">
                  <c:v>25.228268963757479</c:v>
                </c:pt>
                <c:pt idx="17">
                  <c:v>27.974353426328001</c:v>
                </c:pt>
                <c:pt idx="18">
                  <c:v>31.019347809607087</c:v>
                </c:pt>
                <c:pt idx="19">
                  <c:v>34.395788309008907</c:v>
                </c:pt>
                <c:pt idx="20">
                  <c:v>38.139752668550365</c:v>
                </c:pt>
                <c:pt idx="21">
                  <c:v>42.291245676645744</c:v>
                </c:pt>
                <c:pt idx="22">
                  <c:v>46.894626622925777</c:v>
                </c:pt>
                <c:pt idx="23">
                  <c:v>51.99908328351794</c:v>
                </c:pt>
                <c:pt idx="24">
                  <c:v>57.659157499387199</c:v>
                </c:pt>
                <c:pt idx="25">
                  <c:v>63.935327963616757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F3-4E24-A71F-A8AF22D87381}"/>
            </c:ext>
          </c:extLst>
        </c:ser>
        <c:ser>
          <c:idx val="2"/>
          <c:order val="2"/>
          <c:tx>
            <c:strRef>
              <c:f>Scenarios!$D$2</c:f>
              <c:strCache>
                <c:ptCount val="1"/>
                <c:pt idx="0">
                  <c:v>Fertiliser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Scenarios!$D$3:$D$28</c:f>
              <c:numCache>
                <c:formatCode>General</c:formatCode>
                <c:ptCount val="26"/>
                <c:pt idx="0">
                  <c:v>1.0667169999999999</c:v>
                </c:pt>
                <c:pt idx="1">
                  <c:v>0.88990887059339985</c:v>
                </c:pt>
                <c:pt idx="2">
                  <c:v>0.74240665327431787</c:v>
                </c:pt>
                <c:pt idx="3">
                  <c:v>0.61935289897543022</c:v>
                </c:pt>
                <c:pt idx="4">
                  <c:v>0.51669527984083241</c:v>
                </c:pt>
                <c:pt idx="5">
                  <c:v>0.43105314054627036</c:v>
                </c:pt>
                <c:pt idx="6">
                  <c:v>0.35960616871135409</c:v>
                </c:pt>
                <c:pt idx="7">
                  <c:v>0.30000151816868087</c:v>
                </c:pt>
                <c:pt idx="8">
                  <c:v>0.25027632653252563</c:v>
                </c:pt>
                <c:pt idx="9">
                  <c:v>0.20879307546502482</c:v>
                </c:pt>
                <c:pt idx="10">
                  <c:v>0.17418566496531201</c:v>
                </c:pt>
                <c:pt idx="11">
                  <c:v>0.14531442583444454</c:v>
                </c:pt>
                <c:pt idx="12">
                  <c:v>0.12122858881527049</c:v>
                </c:pt>
                <c:pt idx="13">
                  <c:v>0.10113497446485716</c:v>
                </c:pt>
                <c:pt idx="14">
                  <c:v>8.4371872674301976E-2</c:v>
                </c:pt>
                <c:pt idx="15">
                  <c:v>7.0387251652910945E-2</c:v>
                </c:pt>
                <c:pt idx="16">
                  <c:v>5.8720578768891279E-2</c:v>
                </c:pt>
                <c:pt idx="17">
                  <c:v>4.8987654582063299E-2</c:v>
                </c:pt>
                <c:pt idx="18">
                  <c:v>4.0867960632617217E-2</c:v>
                </c:pt>
                <c:pt idx="19">
                  <c:v>3.4094104331353035E-2</c:v>
                </c:pt>
                <c:pt idx="20">
                  <c:v>2.8443013357252134E-2</c:v>
                </c:pt>
                <c:pt idx="21">
                  <c:v>2.372858958189026E-2</c:v>
                </c:pt>
                <c:pt idx="22">
                  <c:v>1.9795580604409866E-2</c:v>
                </c:pt>
                <c:pt idx="23">
                  <c:v>1.6514467078345051E-2</c:v>
                </c:pt>
                <c:pt idx="24">
                  <c:v>1.3777197463002773E-2</c:v>
                </c:pt>
                <c:pt idx="25">
                  <c:v>1.1493629738949554E-2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F3-4E24-A71F-A8AF22D87381}"/>
            </c:ext>
          </c:extLst>
        </c:ser>
        <c:ser>
          <c:idx val="3"/>
          <c:order val="3"/>
          <c:tx>
            <c:strRef>
              <c:f>Scenarios!$E$2</c:f>
              <c:strCache>
                <c:ptCount val="1"/>
                <c:pt idx="0">
                  <c:v>Petrochemical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Scenarios!$E$3:$E$28</c:f>
              <c:numCache>
                <c:formatCode>General</c:formatCode>
                <c:ptCount val="26"/>
                <c:pt idx="0">
                  <c:v>12.70791</c:v>
                </c:pt>
                <c:pt idx="1">
                  <c:v>12.458707249504499</c:v>
                </c:pt>
                <c:pt idx="2">
                  <c:v>12.214391377406352</c:v>
                </c:pt>
                <c:pt idx="3">
                  <c:v>11.974866551775847</c:v>
                </c:pt>
                <c:pt idx="4">
                  <c:v>11.740038819952193</c:v>
                </c:pt>
                <c:pt idx="5">
                  <c:v>11.509816071690988</c:v>
                </c:pt>
                <c:pt idx="6">
                  <c:v>11.284108003034325</c:v>
                </c:pt>
                <c:pt idx="7">
                  <c:v>11.062826080889423</c:v>
                </c:pt>
                <c:pt idx="8">
                  <c:v>10.845883508301876</c:v>
                </c:pt>
                <c:pt idx="9">
                  <c:v>10.6331951904099</c:v>
                </c:pt>
                <c:pt idx="10">
                  <c:v>10.424677701066202</c:v>
                </c:pt>
                <c:pt idx="11">
                  <c:v>10.22024925011441</c:v>
                </c:pt>
                <c:pt idx="12">
                  <c:v>10.019829651307202</c:v>
                </c:pt>
                <c:pt idx="13">
                  <c:v>9.8233402908535847</c:v>
                </c:pt>
                <c:pt idx="14">
                  <c:v>9.630704096582928</c:v>
                </c:pt>
                <c:pt idx="15">
                  <c:v>9.4418455077137367</c:v>
                </c:pt>
                <c:pt idx="16">
                  <c:v>9.2566904452151917</c:v>
                </c:pt>
                <c:pt idx="17">
                  <c:v>9.0751662827499988</c:v>
                </c:pt>
                <c:pt idx="18">
                  <c:v>8.8972018181869572</c:v>
                </c:pt>
                <c:pt idx="19">
                  <c:v>8.7227272456722211</c:v>
                </c:pt>
                <c:pt idx="20">
                  <c:v>8.5516741282482265</c:v>
                </c:pt>
                <c:pt idx="21">
                  <c:v>8.3839753710095692</c:v>
                </c:pt>
                <c:pt idx="22">
                  <c:v>8.2195651947853037</c:v>
                </c:pt>
                <c:pt idx="23">
                  <c:v>8.0583791103373059</c:v>
                </c:pt>
                <c:pt idx="24">
                  <c:v>7.9003538930646346</c:v>
                </c:pt>
                <c:pt idx="25">
                  <c:v>7.745427558203942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F3-4E24-A71F-A8AF22D87381}"/>
            </c:ext>
          </c:extLst>
        </c:ser>
        <c:ser>
          <c:idx val="4"/>
          <c:order val="4"/>
          <c:tx>
            <c:strRef>
              <c:f>Scenarios!$F$2</c:f>
              <c:strCache>
                <c:ptCount val="1"/>
                <c:pt idx="0">
                  <c:v>Cement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Scenarios!$F$3:$F$28</c:f>
              <c:numCache>
                <c:formatCode>General</c:formatCode>
                <c:ptCount val="26"/>
                <c:pt idx="0">
                  <c:v>5.946339</c:v>
                </c:pt>
                <c:pt idx="1">
                  <c:v>5.7125534494366805</c:v>
                </c:pt>
                <c:pt idx="2">
                  <c:v>5.4879593835250411</c:v>
                </c:pt>
                <c:pt idx="3">
                  <c:v>5.2721954309574963</c:v>
                </c:pt>
                <c:pt idx="4">
                  <c:v>5.0649144280574232</c:v>
                </c:pt>
                <c:pt idx="5">
                  <c:v>4.8657828601936481</c:v>
                </c:pt>
                <c:pt idx="6">
                  <c:v>4.6744803251562175</c:v>
                </c:pt>
                <c:pt idx="7">
                  <c:v>4.490699017630015</c:v>
                </c:pt>
                <c:pt idx="8">
                  <c:v>4.3141432339367558</c:v>
                </c:pt>
                <c:pt idx="9">
                  <c:v>4.1445288962484854</c:v>
                </c:pt>
                <c:pt idx="10">
                  <c:v>3.9815830955070473</c:v>
                </c:pt>
                <c:pt idx="11">
                  <c:v>3.8250436523140632</c:v>
                </c:pt>
                <c:pt idx="12">
                  <c:v>3.674658695084922</c:v>
                </c:pt>
                <c:pt idx="13">
                  <c:v>3.5301862547880072</c:v>
                </c:pt>
                <c:pt idx="14">
                  <c:v>3.391393875617112</c:v>
                </c:pt>
                <c:pt idx="15">
                  <c:v>3.2580582409706147</c:v>
                </c:pt>
                <c:pt idx="16">
                  <c:v>3.1299648141356022</c:v>
                </c:pt>
                <c:pt idx="17">
                  <c:v>3.0069074930988249</c:v>
                </c:pt>
                <c:pt idx="18">
                  <c:v>2.8886882789290511</c:v>
                </c:pt>
                <c:pt idx="19">
                  <c:v>2.7751169571972691</c:v>
                </c:pt>
                <c:pt idx="20">
                  <c:v>2.6660107919221363</c:v>
                </c:pt>
                <c:pt idx="21">
                  <c:v>2.5611942315482201</c:v>
                </c:pt>
                <c:pt idx="22">
                  <c:v>2.4604986264839779</c:v>
                </c:pt>
                <c:pt idx="23">
                  <c:v>2.3637619577449689</c:v>
                </c:pt>
                <c:pt idx="24">
                  <c:v>2.270828576265703</c:v>
                </c:pt>
                <c:pt idx="25">
                  <c:v>2.1815489524606697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F3-4E24-A71F-A8AF22D87381}"/>
            </c:ext>
          </c:extLst>
        </c:ser>
        <c:ser>
          <c:idx val="5"/>
          <c:order val="5"/>
          <c:tx>
            <c:strRef>
              <c:f>Scenarios!$G$2</c:f>
              <c:strCache>
                <c:ptCount val="1"/>
                <c:pt idx="0">
                  <c:v>Total for above 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Scenarios!$G$3:$G$28</c:f>
              <c:numCache>
                <c:formatCode>General</c:formatCode>
                <c:ptCount val="26"/>
                <c:pt idx="0">
                  <c:v>70.747082999999989</c:v>
                </c:pt>
                <c:pt idx="1">
                  <c:v>64.739212655390517</c:v>
                </c:pt>
                <c:pt idx="2">
                  <c:v>68.416425683307054</c:v>
                </c:pt>
                <c:pt idx="3">
                  <c:v>72.536636887243205</c:v>
                </c:pt>
                <c:pt idx="4">
                  <c:v>77.133683935885742</c:v>
                </c:pt>
                <c:pt idx="5">
                  <c:v>82.2457352862519</c:v>
                </c:pt>
                <c:pt idx="6">
                  <c:v>87.915526234588611</c:v>
                </c:pt>
                <c:pt idx="7">
                  <c:v>94.19064683913868</c:v>
                </c:pt>
                <c:pt idx="8">
                  <c:v>101.12388187861386</c:v>
                </c:pt>
                <c:pt idx="9">
                  <c:v>108.77360383013806</c:v>
                </c:pt>
                <c:pt idx="10">
                  <c:v>117.20422061688369</c:v>
                </c:pt>
                <c:pt idx="11">
                  <c:v>126.48668060557023</c:v>
                </c:pt>
                <c:pt idx="12">
                  <c:v>136.69903804233599</c:v>
                </c:pt>
                <c:pt idx="13">
                  <c:v>147.92708281556787</c:v>
                </c:pt>
                <c:pt idx="14">
                  <c:v>160.26503913814997</c:v>
                </c:pt>
                <c:pt idx="15">
                  <c:v>173.81633846041299</c:v>
                </c:pt>
                <c:pt idx="16">
                  <c:v>188.6944726692725</c:v>
                </c:pt>
                <c:pt idx="17">
                  <c:v>205.02393440865129</c:v>
                </c:pt>
                <c:pt idx="18">
                  <c:v>222.94125218101098</c:v>
                </c:pt>
                <c:pt idx="19">
                  <c:v>242.59612876937908</c:v>
                </c:pt>
                <c:pt idx="20">
                  <c:v>264.15269246339261</c:v>
                </c:pt>
                <c:pt idx="21">
                  <c:v>287.7908715916376</c:v>
                </c:pt>
                <c:pt idx="22">
                  <c:v>313.70790396634698</c:v>
                </c:pt>
                <c:pt idx="23">
                  <c:v>342.11999404629694</c:v>
                </c:pt>
                <c:pt idx="24">
                  <c:v>373.2641319311204</c:v>
                </c:pt>
                <c:pt idx="25">
                  <c:v>407.40008972770369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F3-4E24-A71F-A8AF22D87381}"/>
            </c:ext>
          </c:extLst>
        </c:ser>
        <c:ser>
          <c:idx val="6"/>
          <c:order val="6"/>
          <c:tx>
            <c:strRef>
              <c:f>Scenarios!$H$2</c:f>
              <c:strCache>
                <c:ptCount val="1"/>
                <c:pt idx="0">
                  <c:v>Total demand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Scenarios!$H$3:$H$28</c:f>
              <c:numCache>
                <c:formatCode>General</c:formatCode>
                <c:ptCount val="26"/>
                <c:pt idx="0">
                  <c:v>99.643778873239427</c:v>
                </c:pt>
                <c:pt idx="1">
                  <c:v>91.181989655479612</c:v>
                </c:pt>
                <c:pt idx="2">
                  <c:v>96.361162934235296</c:v>
                </c:pt>
                <c:pt idx="3">
                  <c:v>102.16427730597636</c:v>
                </c:pt>
                <c:pt idx="4">
                  <c:v>108.63899145899401</c:v>
                </c:pt>
                <c:pt idx="5">
                  <c:v>115.83906378345338</c:v>
                </c:pt>
                <c:pt idx="6">
                  <c:v>123.82468483744876</c:v>
                </c:pt>
                <c:pt idx="7">
                  <c:v>132.66288287202633</c:v>
                </c:pt>
                <c:pt idx="8">
                  <c:v>142.42800264593501</c:v>
                </c:pt>
                <c:pt idx="9">
                  <c:v>153.20225891568742</c:v>
                </c:pt>
                <c:pt idx="10">
                  <c:v>165.07636706603338</c:v>
                </c:pt>
                <c:pt idx="11">
                  <c:v>178.15025437404259</c:v>
                </c:pt>
                <c:pt idx="12">
                  <c:v>192.53385639765634</c:v>
                </c:pt>
                <c:pt idx="13">
                  <c:v>208.34800396558856</c:v>
                </c:pt>
                <c:pt idx="14">
                  <c:v>225.72540723683096</c:v>
                </c:pt>
                <c:pt idx="15">
                  <c:v>244.81174431044084</c:v>
                </c:pt>
                <c:pt idx="16">
                  <c:v>265.76686291446833</c:v>
                </c:pt>
                <c:pt idx="17">
                  <c:v>288.76610480091733</c:v>
                </c:pt>
                <c:pt idx="18">
                  <c:v>314.00176363522672</c:v>
                </c:pt>
                <c:pt idx="19">
                  <c:v>341.68468840757617</c:v>
                </c:pt>
                <c:pt idx="20">
                  <c:v>372.04604572308818</c:v>
                </c:pt>
                <c:pt idx="21">
                  <c:v>405.33925576286987</c:v>
                </c:pt>
                <c:pt idx="22">
                  <c:v>441.84211826246053</c:v>
                </c:pt>
                <c:pt idx="23">
                  <c:v>481.8591465440802</c:v>
                </c:pt>
                <c:pt idx="24">
                  <c:v>525.72412948045132</c:v>
                </c:pt>
                <c:pt idx="25">
                  <c:v>573.80294327845593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F3-4E24-A71F-A8AF22D87381}"/>
            </c:ext>
          </c:extLst>
        </c:ser>
        <c:ser>
          <c:idx val="7"/>
          <c:order val="7"/>
          <c:tx>
            <c:strRef>
              <c:f>Scenarios!$I$2</c:f>
              <c:strCache>
                <c:ptCount val="1"/>
                <c:pt idx="0">
                  <c:v>Iron &amp; Steel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Scenarios!$I$3:$I$28</c:f>
              <c:numCache>
                <c:formatCode>General</c:formatCode>
                <c:ptCount val="26"/>
                <c:pt idx="0">
                  <c:v>80.644041172194648</c:v>
                </c:pt>
                <c:pt idx="1">
                  <c:v>91.857595097188309</c:v>
                </c:pt>
                <c:pt idx="2">
                  <c:v>104.63039369545233</c:v>
                </c:pt>
                <c:pt idx="3">
                  <c:v>119.17924993880499</c:v>
                </c:pt>
                <c:pt idx="4">
                  <c:v>135.75112464279582</c:v>
                </c:pt>
                <c:pt idx="5">
                  <c:v>154.62731852437656</c:v>
                </c:pt>
                <c:pt idx="6">
                  <c:v>176.12824716519108</c:v>
                </c:pt>
                <c:pt idx="7">
                  <c:v>200.61887993351093</c:v>
                </c:pt>
                <c:pt idx="8">
                  <c:v>228.51493518826558</c:v>
                </c:pt>
                <c:pt idx="9">
                  <c:v>260.28993692619395</c:v>
                </c:pt>
                <c:pt idx="10">
                  <c:v>296.48325265578109</c:v>
                </c:pt>
                <c:pt idx="11">
                  <c:v>337.70924893756745</c:v>
                </c:pt>
                <c:pt idx="12">
                  <c:v>384.66772000233618</c:v>
                </c:pt>
                <c:pt idx="13">
                  <c:v>438.155766468661</c:v>
                </c:pt>
                <c:pt idx="14">
                  <c:v>499.08132579612817</c:v>
                </c:pt>
                <c:pt idx="15">
                  <c:v>568.47858414808002</c:v>
                </c:pt>
                <c:pt idx="16">
                  <c:v>647.52553127387023</c:v>
                </c:pt>
                <c:pt idx="17">
                  <c:v>737.56395639750201</c:v>
                </c:pt>
                <c:pt idx="18">
                  <c:v>840.12222453457446</c:v>
                </c:pt>
                <c:pt idx="19">
                  <c:v>956.9412198561073</c:v>
                </c:pt>
                <c:pt idx="20">
                  <c:v>1090.0038964770988</c:v>
                </c:pt>
                <c:pt idx="21">
                  <c:v>1241.5689382822393</c:v>
                </c:pt>
                <c:pt idx="22">
                  <c:v>1414.2090991503842</c:v>
                </c:pt>
                <c:pt idx="23">
                  <c:v>1610.8548743872454</c:v>
                </c:pt>
                <c:pt idx="24">
                  <c:v>1834.8442446707918</c:v>
                </c:pt>
                <c:pt idx="25">
                  <c:v>2089.9793368922656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9F3-4E24-A71F-A8AF22D87381}"/>
            </c:ext>
          </c:extLst>
        </c:ser>
        <c:ser>
          <c:idx val="8"/>
          <c:order val="8"/>
          <c:tx>
            <c:strRef>
              <c:f>Scenarios!$J$2</c:f>
              <c:strCache>
                <c:ptCount val="1"/>
                <c:pt idx="0">
                  <c:v>Aluminium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Scenarios!$J$3:$J$28</c:f>
              <c:numCache>
                <c:formatCode>General</c:formatCode>
                <c:ptCount val="26"/>
                <c:pt idx="0">
                  <c:v>6.2199517779657096</c:v>
                </c:pt>
                <c:pt idx="1">
                  <c:v>7.1939900064433617</c:v>
                </c:pt>
                <c:pt idx="2">
                  <c:v>8.3205616474623856</c:v>
                </c:pt>
                <c:pt idx="3">
                  <c:v>9.6235532808933488</c:v>
                </c:pt>
                <c:pt idx="4">
                  <c:v>11.130592101127965</c:v>
                </c:pt>
                <c:pt idx="5">
                  <c:v>12.873631693572506</c:v>
                </c:pt>
                <c:pt idx="6">
                  <c:v>14.889629543154266</c:v>
                </c:pt>
                <c:pt idx="7">
                  <c:v>17.221330639982682</c:v>
                </c:pt>
                <c:pt idx="8">
                  <c:v>19.918173796873333</c:v>
                </c:pt>
                <c:pt idx="9">
                  <c:v>23.037339895289897</c:v>
                </c:pt>
                <c:pt idx="10">
                  <c:v>26.644964285552401</c:v>
                </c:pt>
                <c:pt idx="11">
                  <c:v>30.817539047705623</c:v>
                </c:pt>
                <c:pt idx="12">
                  <c:v>35.64353484503728</c:v>
                </c:pt>
                <c:pt idx="13">
                  <c:v>41.225276758235282</c:v>
                </c:pt>
                <c:pt idx="14">
                  <c:v>47.681113873298159</c:v>
                </c:pt>
                <c:pt idx="15">
                  <c:v>55.147928624742782</c:v>
                </c:pt>
                <c:pt idx="16">
                  <c:v>63.784039099448883</c:v>
                </c:pt>
                <c:pt idx="17">
                  <c:v>73.772555838383468</c:v>
                </c:pt>
                <c:pt idx="18">
                  <c:v>85.325264310118499</c:v>
                </c:pt>
                <c:pt idx="19">
                  <c:v>98.687115375818749</c:v>
                </c:pt>
                <c:pt idx="20">
                  <c:v>114.14141895655659</c:v>
                </c:pt>
                <c:pt idx="21">
                  <c:v>132.0158510237344</c:v>
                </c:pt>
                <c:pt idx="22">
                  <c:v>152.68940127820017</c:v>
                </c:pt>
                <c:pt idx="23">
                  <c:v>176.60040882896507</c:v>
                </c:pt>
                <c:pt idx="24">
                  <c:v>204.25585625117219</c:v>
                </c:pt>
                <c:pt idx="25">
                  <c:v>236.24211908424945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9F3-4E24-A71F-A8AF22D87381}"/>
            </c:ext>
          </c:extLst>
        </c:ser>
        <c:ser>
          <c:idx val="9"/>
          <c:order val="9"/>
          <c:tx>
            <c:strRef>
              <c:f>Scenarios!$K$2</c:f>
              <c:strCache>
                <c:ptCount val="1"/>
                <c:pt idx="0">
                  <c:v>Fertiliser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Scenarios!$K$3:$K$28</c:f>
              <c:numCache>
                <c:formatCode>General</c:formatCode>
                <c:ptCount val="26"/>
                <c:pt idx="0">
                  <c:v>1.0667169999999999</c:v>
                </c:pt>
                <c:pt idx="1">
                  <c:v>0.88999783479119987</c:v>
                </c:pt>
                <c:pt idx="2">
                  <c:v>0.74255509749354687</c:v>
                </c:pt>
                <c:pt idx="3">
                  <c:v>0.61953866769014188</c:v>
                </c:pt>
                <c:pt idx="4">
                  <c:v>0.51690192695311965</c:v>
                </c:pt>
                <c:pt idx="5">
                  <c:v>0.43126864556173333</c:v>
                </c:pt>
                <c:pt idx="6">
                  <c:v>0.3598219216186449</c:v>
                </c:pt>
                <c:pt idx="7">
                  <c:v>0.30021151922300182</c:v>
                </c:pt>
                <c:pt idx="8">
                  <c:v>0.25047655759479631</c:v>
                </c:pt>
                <c:pt idx="9">
                  <c:v>0.2089810080136737</c:v>
                </c:pt>
                <c:pt idx="10">
                  <c:v>0.17435987674767719</c:v>
                </c:pt>
                <c:pt idx="11">
                  <c:v>0.14547430366244579</c:v>
                </c:pt>
                <c:pt idx="12">
                  <c:v>0.12137409948218159</c:v>
                </c:pt>
                <c:pt idx="13">
                  <c:v>0.10126648936772667</c:v>
                </c:pt>
                <c:pt idx="14">
                  <c:v>8.4490034633537103E-2</c:v>
                </c:pt>
                <c:pt idx="15">
                  <c:v>7.049287475992369E-2</c:v>
                </c:pt>
                <c:pt idx="16">
                  <c:v>5.8814573972796262E-2</c:v>
                </c:pt>
                <c:pt idx="17">
                  <c:v>4.9070975235189405E-2</c:v>
                </c:pt>
                <c:pt idx="18">
                  <c:v>4.0941563423486427E-2</c:v>
                </c:pt>
                <c:pt idx="19">
                  <c:v>3.4158922000745738E-2</c:v>
                </c:pt>
                <c:pt idx="20">
                  <c:v>2.8499936365001397E-2</c:v>
                </c:pt>
                <c:pt idx="21">
                  <c:v>2.3778454507182523E-2</c:v>
                </c:pt>
                <c:pt idx="22">
                  <c:v>1.9839163551413817E-2</c:v>
                </c:pt>
                <c:pt idx="23">
                  <c:v>1.6552480746839876E-2</c:v>
                </c:pt>
                <c:pt idx="24">
                  <c:v>1.3810290850441602E-2</c:v>
                </c:pt>
                <c:pt idx="25">
                  <c:v>1.1522389682296E-2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9F3-4E24-A71F-A8AF22D87381}"/>
            </c:ext>
          </c:extLst>
        </c:ser>
        <c:ser>
          <c:idx val="10"/>
          <c:order val="10"/>
          <c:tx>
            <c:strRef>
              <c:f>Scenarios!$L$2</c:f>
              <c:strCache>
                <c:ptCount val="1"/>
                <c:pt idx="0">
                  <c:v>Petrochemical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Scenarios!$L$3:$L$28</c:f>
              <c:numCache>
                <c:formatCode>General</c:formatCode>
                <c:ptCount val="26"/>
                <c:pt idx="0">
                  <c:v>12.70791</c:v>
                </c:pt>
                <c:pt idx="1">
                  <c:v>12.461197745706299</c:v>
                </c:pt>
                <c:pt idx="2">
                  <c:v>12.219275180387312</c:v>
                </c:pt>
                <c:pt idx="3">
                  <c:v>11.982049316686009</c:v>
                </c:pt>
                <c:pt idx="4">
                  <c:v>11.749428972508415</c:v>
                </c:pt>
                <c:pt idx="5">
                  <c:v>11.521324735976107</c:v>
                </c:pt>
                <c:pt idx="6">
                  <c:v>11.297648931059134</c:v>
                </c:pt>
                <c:pt idx="7">
                  <c:v>11.078315583876124</c:v>
                </c:pt>
                <c:pt idx="8">
                  <c:v>10.863240389648663</c:v>
                </c:pt>
                <c:pt idx="9">
                  <c:v>10.652340680297195</c:v>
                </c:pt>
                <c:pt idx="10">
                  <c:v>10.445535392666056</c:v>
                </c:pt>
                <c:pt idx="11">
                  <c:v>10.24274503736536</c:v>
                </c:pt>
                <c:pt idx="12">
                  <c:v>10.043891668217794</c:v>
                </c:pt>
                <c:pt idx="13">
                  <c:v>9.8488988522985963</c:v>
                </c:pt>
                <c:pt idx="14">
                  <c:v>9.6576916405571502</c:v>
                </c:pt>
                <c:pt idx="15">
                  <c:v>9.470196539008958</c:v>
                </c:pt>
                <c:pt idx="16">
                  <c:v>9.2863414804868789</c:v>
                </c:pt>
                <c:pt idx="17">
                  <c:v>9.1060557969408009</c:v>
                </c:pt>
                <c:pt idx="18">
                  <c:v>8.9292701922750872</c:v>
                </c:pt>
                <c:pt idx="19">
                  <c:v>8.755916715713342</c:v>
                </c:pt>
                <c:pt idx="20">
                  <c:v>8.585928735680314</c:v>
                </c:pt>
                <c:pt idx="21">
                  <c:v>8.4192409141908033</c:v>
                </c:pt>
                <c:pt idx="22">
                  <c:v>8.2557891817358371</c:v>
                </c:pt>
                <c:pt idx="23">
                  <c:v>8.0955107126563757</c:v>
                </c:pt>
                <c:pt idx="24">
                  <c:v>7.9383439009951147</c:v>
                </c:pt>
                <c:pt idx="25">
                  <c:v>7.7842283368171232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9F3-4E24-A71F-A8AF22D87381}"/>
            </c:ext>
          </c:extLst>
        </c:ser>
        <c:ser>
          <c:idx val="11"/>
          <c:order val="11"/>
          <c:tx>
            <c:strRef>
              <c:f>Scenarios!$M$2</c:f>
              <c:strCache>
                <c:ptCount val="1"/>
                <c:pt idx="0">
                  <c:v>Cement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Scenarios!$M$3:$M$28</c:f>
              <c:numCache>
                <c:formatCode>General</c:formatCode>
                <c:ptCount val="26"/>
                <c:pt idx="0">
                  <c:v>5.946339</c:v>
                </c:pt>
                <c:pt idx="1">
                  <c:v>5.7142665302391897</c:v>
                </c:pt>
                <c:pt idx="2">
                  <c:v>5.4912513360929855</c:v>
                </c:pt>
                <c:pt idx="3">
                  <c:v>5.2769399321107278</c:v>
                </c:pt>
                <c:pt idx="4">
                  <c:v>5.0709926285976969</c:v>
                </c:pt>
                <c:pt idx="5">
                  <c:v>4.8730829931972384</c:v>
                </c:pt>
                <c:pt idx="6">
                  <c:v>4.6828973334861645</c:v>
                </c:pt>
                <c:pt idx="7">
                  <c:v>4.5001341997633055</c:v>
                </c:pt>
                <c:pt idx="8">
                  <c:v>4.3245039072431259</c:v>
                </c:pt>
                <c:pt idx="9">
                  <c:v>4.1557280768970619</c:v>
                </c:pt>
                <c:pt idx="10">
                  <c:v>3.9935391942148186</c:v>
                </c:pt>
                <c:pt idx="11">
                  <c:v>3.8376801851862328</c:v>
                </c:pt>
                <c:pt idx="12">
                  <c:v>3.6879040088316244</c:v>
                </c:pt>
                <c:pt idx="13">
                  <c:v>3.5439732656347851</c:v>
                </c:pt>
                <c:pt idx="14">
                  <c:v>3.4056598212579758</c:v>
                </c:pt>
                <c:pt idx="15">
                  <c:v>3.2727444449424818</c:v>
                </c:pt>
                <c:pt idx="16">
                  <c:v>3.1450164620216006</c:v>
                </c:pt>
                <c:pt idx="17">
                  <c:v>3.0222734199952783</c:v>
                </c:pt>
                <c:pt idx="18">
                  <c:v>2.9043207676371208</c:v>
                </c:pt>
                <c:pt idx="19">
                  <c:v>2.7909715466251392</c:v>
                </c:pt>
                <c:pt idx="20">
                  <c:v>2.6820460952074789</c:v>
                </c:pt>
                <c:pt idx="21">
                  <c:v>2.5773717634334012</c:v>
                </c:pt>
                <c:pt idx="22">
                  <c:v>2.4767826394981922</c:v>
                </c:pt>
                <c:pt idx="23">
                  <c:v>2.3801192867682111</c:v>
                </c:pt>
                <c:pt idx="24">
                  <c:v>2.2872284910692717</c:v>
                </c:pt>
                <c:pt idx="25">
                  <c:v>2.1979630178378038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9F3-4E24-A71F-A8AF22D87381}"/>
            </c:ext>
          </c:extLst>
        </c:ser>
        <c:ser>
          <c:idx val="12"/>
          <c:order val="12"/>
          <c:tx>
            <c:strRef>
              <c:f>Scenarios!$N$2</c:f>
              <c:strCache>
                <c:ptCount val="1"/>
                <c:pt idx="0">
                  <c:v>Total for above 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Scenarios!$N$3:$N$28</c:f>
              <c:numCache>
                <c:formatCode>General</c:formatCode>
                <c:ptCount val="26"/>
                <c:pt idx="0">
                  <c:v>70.747082999999989</c:v>
                </c:pt>
                <c:pt idx="1">
                  <c:v>118.11704721436836</c:v>
                </c:pt>
                <c:pt idx="2">
                  <c:v>131.40403695688855</c:v>
                </c:pt>
                <c:pt idx="3">
                  <c:v>146.68133113618524</c:v>
                </c:pt>
                <c:pt idx="4">
                  <c:v>164.21904027198303</c:v>
                </c:pt>
                <c:pt idx="5">
                  <c:v>184.32662659268416</c:v>
                </c:pt>
                <c:pt idx="6">
                  <c:v>207.35824489450928</c:v>
                </c:pt>
                <c:pt idx="7">
                  <c:v>233.71887187635605</c:v>
                </c:pt>
                <c:pt idx="8">
                  <c:v>263.8713298396255</c:v>
                </c:pt>
                <c:pt idx="9">
                  <c:v>298.34432658669175</c:v>
                </c:pt>
                <c:pt idx="10">
                  <c:v>337.74165140496206</c:v>
                </c:pt>
                <c:pt idx="11">
                  <c:v>382.75268751148712</c:v>
                </c:pt>
                <c:pt idx="12">
                  <c:v>434.16442462390506</c:v>
                </c:pt>
                <c:pt idx="13">
                  <c:v>492.87518183419741</c:v>
                </c:pt>
                <c:pt idx="14">
                  <c:v>559.91028116587495</c:v>
                </c:pt>
                <c:pt idx="15">
                  <c:v>636.43994663153421</c:v>
                </c:pt>
                <c:pt idx="16">
                  <c:v>723.79974288980031</c:v>
                </c:pt>
                <c:pt idx="17">
                  <c:v>823.51391242805676</c:v>
                </c:pt>
                <c:pt idx="18">
                  <c:v>937.3220213680288</c:v>
                </c:pt>
                <c:pt idx="19">
                  <c:v>1067.209382416265</c:v>
                </c:pt>
                <c:pt idx="20">
                  <c:v>1215.4417902009081</c:v>
                </c:pt>
                <c:pt idx="21">
                  <c:v>1384.605180438105</c:v>
                </c:pt>
                <c:pt idx="22">
                  <c:v>1577.6509114133698</c:v>
                </c:pt>
                <c:pt idx="23">
                  <c:v>1797.9474656963819</c:v>
                </c:pt>
                <c:pt idx="24">
                  <c:v>2049.3394836048788</c:v>
                </c:pt>
                <c:pt idx="25">
                  <c:v>2336.2151697208528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9F3-4E24-A71F-A8AF22D87381}"/>
            </c:ext>
          </c:extLst>
        </c:ser>
        <c:ser>
          <c:idx val="13"/>
          <c:order val="13"/>
          <c:tx>
            <c:strRef>
              <c:f>Scenarios!$O$2</c:f>
              <c:strCache>
                <c:ptCount val="1"/>
                <c:pt idx="0">
                  <c:v>Total demand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Scenarios!$O$3:$O$28</c:f>
              <c:numCache>
                <c:formatCode>General</c:formatCode>
                <c:ptCount val="26"/>
                <c:pt idx="0">
                  <c:v>99.643778873239427</c:v>
                </c:pt>
                <c:pt idx="1">
                  <c:v>166.36203833009628</c:v>
                </c:pt>
                <c:pt idx="2">
                  <c:v>185.07610838998389</c:v>
                </c:pt>
                <c:pt idx="3">
                  <c:v>206.59342413547216</c:v>
                </c:pt>
                <c:pt idx="4">
                  <c:v>231.29442291828596</c:v>
                </c:pt>
                <c:pt idx="5">
                  <c:v>259.61496703194956</c:v>
                </c:pt>
                <c:pt idx="6">
                  <c:v>292.05386604860462</c:v>
                </c:pt>
                <c:pt idx="7">
                  <c:v>329.18150968500851</c:v>
                </c:pt>
                <c:pt idx="8">
                  <c:v>371.64976033750071</c:v>
                </c:pt>
                <c:pt idx="9">
                  <c:v>420.20327688266445</c:v>
                </c:pt>
                <c:pt idx="10">
                  <c:v>475.69246676755222</c:v>
                </c:pt>
                <c:pt idx="11">
                  <c:v>539.08829226970022</c:v>
                </c:pt>
                <c:pt idx="12">
                  <c:v>611.49918961113394</c:v>
                </c:pt>
                <c:pt idx="13">
                  <c:v>694.19039694957382</c:v>
                </c:pt>
                <c:pt idx="14">
                  <c:v>788.6060298110915</c:v>
                </c:pt>
                <c:pt idx="15">
                  <c:v>896.3942910303299</c:v>
                </c:pt>
                <c:pt idx="16">
                  <c:v>1019.4362575912681</c:v>
                </c:pt>
                <c:pt idx="17">
                  <c:v>1159.8787498986715</c:v>
                </c:pt>
                <c:pt idx="18">
                  <c:v>1320.1718610817309</c:v>
                </c:pt>
                <c:pt idx="19">
                  <c:v>1503.1118062200917</c:v>
                </c:pt>
                <c:pt idx="20">
                  <c:v>1711.8898453533918</c:v>
                </c:pt>
                <c:pt idx="21">
                  <c:v>1950.1481414621198</c:v>
                </c:pt>
                <c:pt idx="22">
                  <c:v>2222.0435372019297</c:v>
                </c:pt>
                <c:pt idx="23">
                  <c:v>2532.3203742202563</c:v>
                </c:pt>
                <c:pt idx="24">
                  <c:v>2886.3936388801112</c:v>
                </c:pt>
                <c:pt idx="25">
                  <c:v>3290.443901015286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9F3-4E24-A71F-A8AF22D87381}"/>
            </c:ext>
          </c:extLst>
        </c:ser>
        <c:ser>
          <c:idx val="14"/>
          <c:order val="14"/>
          <c:tx>
            <c:strRef>
              <c:f>Scenarios!$P$2</c:f>
              <c:strCache>
                <c:ptCount val="1"/>
                <c:pt idx="0">
                  <c:v>Iron &amp; Steel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Scenarios!$P$3:$P$28</c:f>
            </c:numRef>
          </c:val>
          <c:smooth val="0"/>
          <c:extLst>
            <c:ext xmlns:c16="http://schemas.microsoft.com/office/drawing/2014/chart" uri="{C3380CC4-5D6E-409C-BE32-E72D297353CC}">
              <c16:uniqueId val="{0000000E-29F3-4E24-A71F-A8AF22D87381}"/>
            </c:ext>
          </c:extLst>
        </c:ser>
        <c:ser>
          <c:idx val="15"/>
          <c:order val="15"/>
          <c:tx>
            <c:strRef>
              <c:f>Scenarios!$Q$2</c:f>
              <c:strCache>
                <c:ptCount val="1"/>
                <c:pt idx="0">
                  <c:v>Aluminium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Scenarios!$Q$3:$Q$28</c:f>
            </c:numRef>
          </c:val>
          <c:smooth val="0"/>
          <c:extLst>
            <c:ext xmlns:c16="http://schemas.microsoft.com/office/drawing/2014/chart" uri="{C3380CC4-5D6E-409C-BE32-E72D297353CC}">
              <c16:uniqueId val="{0000000F-29F3-4E24-A71F-A8AF22D87381}"/>
            </c:ext>
          </c:extLst>
        </c:ser>
        <c:ser>
          <c:idx val="16"/>
          <c:order val="16"/>
          <c:tx>
            <c:strRef>
              <c:f>Scenarios!$R$2</c:f>
              <c:strCache>
                <c:ptCount val="1"/>
                <c:pt idx="0">
                  <c:v>Fertiliser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Scenarios!$R$3:$R$28</c:f>
            </c:numRef>
          </c:val>
          <c:smooth val="0"/>
          <c:extLst>
            <c:ext xmlns:c16="http://schemas.microsoft.com/office/drawing/2014/chart" uri="{C3380CC4-5D6E-409C-BE32-E72D297353CC}">
              <c16:uniqueId val="{00000010-29F3-4E24-A71F-A8AF22D87381}"/>
            </c:ext>
          </c:extLst>
        </c:ser>
        <c:ser>
          <c:idx val="17"/>
          <c:order val="17"/>
          <c:tx>
            <c:strRef>
              <c:f>Scenarios!$S$2</c:f>
              <c:strCache>
                <c:ptCount val="1"/>
                <c:pt idx="0">
                  <c:v>Petrochemical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Scenarios!$S$3:$S$28</c:f>
            </c:numRef>
          </c:val>
          <c:smooth val="0"/>
          <c:extLst>
            <c:ext xmlns:c16="http://schemas.microsoft.com/office/drawing/2014/chart" uri="{C3380CC4-5D6E-409C-BE32-E72D297353CC}">
              <c16:uniqueId val="{00000011-29F3-4E24-A71F-A8AF22D87381}"/>
            </c:ext>
          </c:extLst>
        </c:ser>
        <c:ser>
          <c:idx val="18"/>
          <c:order val="18"/>
          <c:tx>
            <c:strRef>
              <c:f>Scenarios!$T$2</c:f>
              <c:strCache>
                <c:ptCount val="1"/>
                <c:pt idx="0">
                  <c:v>Cement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Scenarios!$T$3:$T$28</c:f>
            </c:numRef>
          </c:val>
          <c:smooth val="0"/>
          <c:extLst>
            <c:ext xmlns:c16="http://schemas.microsoft.com/office/drawing/2014/chart" uri="{C3380CC4-5D6E-409C-BE32-E72D297353CC}">
              <c16:uniqueId val="{00000012-29F3-4E24-A71F-A8AF22D87381}"/>
            </c:ext>
          </c:extLst>
        </c:ser>
        <c:ser>
          <c:idx val="19"/>
          <c:order val="19"/>
          <c:tx>
            <c:strRef>
              <c:f>Scenarios!$U$2</c:f>
              <c:strCache>
                <c:ptCount val="1"/>
                <c:pt idx="0">
                  <c:v>Total for above 5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Scenarios!$U$3:$U$28</c:f>
            </c:numRef>
          </c:val>
          <c:smooth val="0"/>
          <c:extLst>
            <c:ext xmlns:c16="http://schemas.microsoft.com/office/drawing/2014/chart" uri="{C3380CC4-5D6E-409C-BE32-E72D297353CC}">
              <c16:uniqueId val="{00000013-29F3-4E24-A71F-A8AF22D87381}"/>
            </c:ext>
          </c:extLst>
        </c:ser>
        <c:ser>
          <c:idx val="20"/>
          <c:order val="20"/>
          <c:tx>
            <c:strRef>
              <c:f>Scenarios!$V$2</c:f>
              <c:strCache>
                <c:ptCount val="1"/>
                <c:pt idx="0">
                  <c:v>Total demand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cat>
            <c:numRef>
              <c:f>Scenarios!$A$3:$A$28</c:f>
              <c:numCache>
                <c:formatCode>General</c:formatCode>
                <c:ptCount val="2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</c:numCache>
            </c:numRef>
          </c:cat>
          <c:val>
            <c:numRef>
              <c:f>Scenarios!$V$3:$V$28</c:f>
            </c:numRef>
          </c:val>
          <c:smooth val="0"/>
          <c:extLst>
            <c:ext xmlns:c16="http://schemas.microsoft.com/office/drawing/2014/chart" uri="{C3380CC4-5D6E-409C-BE32-E72D297353CC}">
              <c16:uniqueId val="{00000014-29F3-4E24-A71F-A8AF22D87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8409087"/>
        <c:axId val="478408607"/>
      </c:lineChart>
      <c:catAx>
        <c:axId val="47840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408607"/>
        <c:crosses val="autoZero"/>
        <c:auto val="1"/>
        <c:lblAlgn val="ctr"/>
        <c:lblOffset val="100"/>
        <c:noMultiLvlLbl val="0"/>
      </c:catAx>
      <c:valAx>
        <c:axId val="47840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Mtoe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40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[1]energy_demand!$G$2</c:f>
              <c:strCache>
                <c:ptCount val="1"/>
                <c:pt idx="0">
                  <c:v>GDP Intensity Model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[1]energy_demand!$F$3:$F$8</c:f>
              <c:strCache>
                <c:ptCount val="6"/>
                <c:pt idx="0">
                  <c:v>Iron &amp; Steel</c:v>
                </c:pt>
                <c:pt idx="1">
                  <c:v>Aluminium</c:v>
                </c:pt>
                <c:pt idx="2">
                  <c:v>Cement</c:v>
                </c:pt>
                <c:pt idx="3">
                  <c:v>Fertiliser</c:v>
                </c:pt>
                <c:pt idx="4">
                  <c:v>Petrochemical</c:v>
                </c:pt>
                <c:pt idx="5">
                  <c:v>Total</c:v>
                </c:pt>
              </c:strCache>
            </c:strRef>
          </c:cat>
          <c:val>
            <c:numRef>
              <c:f>[1]energy_demand!$G$3:$G$8</c:f>
              <c:numCache>
                <c:formatCode>General</c:formatCode>
                <c:ptCount val="6"/>
                <c:pt idx="0">
                  <c:v>922.59677799999997</c:v>
                </c:pt>
                <c:pt idx="1">
                  <c:v>253.312567</c:v>
                </c:pt>
                <c:pt idx="2">
                  <c:v>0.16531899999999999</c:v>
                </c:pt>
                <c:pt idx="3">
                  <c:v>99.962261999999996</c:v>
                </c:pt>
                <c:pt idx="4">
                  <c:v>21.994555999999999</c:v>
                </c:pt>
                <c:pt idx="5">
                  <c:v>1298.0314820000001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0-4455-ACFB-BEA05A9C6AE9}"/>
            </c:ext>
          </c:extLst>
        </c:ser>
        <c:ser>
          <c:idx val="1"/>
          <c:order val="1"/>
          <c:tx>
            <c:strRef>
              <c:f>[1]energy_demand!$H$2</c:f>
              <c:strCache>
                <c:ptCount val="1"/>
                <c:pt idx="0">
                  <c:v>Demand Activity Model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[1]energy_demand!$F$3:$F$8</c:f>
              <c:strCache>
                <c:ptCount val="6"/>
                <c:pt idx="0">
                  <c:v>Iron &amp; Steel</c:v>
                </c:pt>
                <c:pt idx="1">
                  <c:v>Aluminium</c:v>
                </c:pt>
                <c:pt idx="2">
                  <c:v>Cement</c:v>
                </c:pt>
                <c:pt idx="3">
                  <c:v>Fertiliser</c:v>
                </c:pt>
                <c:pt idx="4">
                  <c:v>Petrochemical</c:v>
                </c:pt>
                <c:pt idx="5">
                  <c:v>Total</c:v>
                </c:pt>
              </c:strCache>
            </c:strRef>
          </c:cat>
          <c:val>
            <c:numRef>
              <c:f>[1]energy_demand!$H$3:$H$8</c:f>
              <c:numCache>
                <c:formatCode>General</c:formatCode>
                <c:ptCount val="6"/>
                <c:pt idx="0">
                  <c:v>967.14232100000004</c:v>
                </c:pt>
                <c:pt idx="1">
                  <c:v>80.459226000000001</c:v>
                </c:pt>
                <c:pt idx="2">
                  <c:v>9.9689630000000005</c:v>
                </c:pt>
                <c:pt idx="3">
                  <c:v>4.9154999999999997E-2</c:v>
                </c:pt>
                <c:pt idx="4">
                  <c:v>41.148406000000001</c:v>
                </c:pt>
                <c:pt idx="5">
                  <c:v>1098.768071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20-4455-ACFB-BEA05A9C6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6367423"/>
        <c:axId val="656359263"/>
      </c:barChart>
      <c:catAx>
        <c:axId val="65636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359263"/>
        <c:crosses val="autoZero"/>
        <c:auto val="1"/>
        <c:lblAlgn val="ctr"/>
        <c:lblOffset val="100"/>
        <c:noMultiLvlLbl val="0"/>
      </c:catAx>
      <c:valAx>
        <c:axId val="65635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MTOE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36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Sheet3!$A$4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Sheet3!$B$3:$H$3</c:f>
              <c:strCache>
                <c:ptCount val="7"/>
                <c:pt idx="0">
                  <c:v>Worst Case GWh</c:v>
                </c:pt>
                <c:pt idx="1">
                  <c:v> λ=0</c:v>
                </c:pt>
                <c:pt idx="2">
                  <c:v> λ=0.25</c:v>
                </c:pt>
                <c:pt idx="3">
                  <c:v> λ=0.5</c:v>
                </c:pt>
                <c:pt idx="4">
                  <c:v> λ=0.75</c:v>
                </c:pt>
                <c:pt idx="5">
                  <c:v> λ=1</c:v>
                </c:pt>
                <c:pt idx="6">
                  <c:v>Best Case GWh</c:v>
                </c:pt>
              </c:strCache>
            </c:strRef>
          </c:cat>
          <c:val>
            <c:numRef>
              <c:f>Sheet3!$B$4:$H$4</c:f>
              <c:numCache>
                <c:formatCode>General</c:formatCode>
                <c:ptCount val="7"/>
                <c:pt idx="0">
                  <c:v>479.13340000000005</c:v>
                </c:pt>
                <c:pt idx="1">
                  <c:v>822.34219999999993</c:v>
                </c:pt>
                <c:pt idx="2">
                  <c:v>822.34219999999993</c:v>
                </c:pt>
                <c:pt idx="3">
                  <c:v>822.34219999999993</c:v>
                </c:pt>
                <c:pt idx="4">
                  <c:v>904.57640000000004</c:v>
                </c:pt>
                <c:pt idx="5">
                  <c:v>904.57640000000004</c:v>
                </c:pt>
                <c:pt idx="6">
                  <c:v>1695.5250000000001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9-4833-B800-EDAE850EF34F}"/>
            </c:ext>
          </c:extLst>
        </c:ser>
        <c:ser>
          <c:idx val="1"/>
          <c:order val="1"/>
          <c:tx>
            <c:strRef>
              <c:f>Sheet3!$A$5</c:f>
              <c:strCache>
                <c:ptCount val="1"/>
                <c:pt idx="0">
                  <c:v>Oil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Sheet3!$B$3:$H$3</c:f>
              <c:strCache>
                <c:ptCount val="7"/>
                <c:pt idx="0">
                  <c:v>Worst Case GWh</c:v>
                </c:pt>
                <c:pt idx="1">
                  <c:v> λ=0</c:v>
                </c:pt>
                <c:pt idx="2">
                  <c:v> λ=0.25</c:v>
                </c:pt>
                <c:pt idx="3">
                  <c:v> λ=0.5</c:v>
                </c:pt>
                <c:pt idx="4">
                  <c:v> λ=0.75</c:v>
                </c:pt>
                <c:pt idx="5">
                  <c:v> λ=1</c:v>
                </c:pt>
                <c:pt idx="6">
                  <c:v>Best Case GWh</c:v>
                </c:pt>
              </c:strCache>
            </c:strRef>
          </c:cat>
          <c:val>
            <c:numRef>
              <c:f>Sheet3!$B$5:$H$5</c:f>
              <c:numCache>
                <c:formatCode>General</c:formatCode>
                <c:ptCount val="7"/>
                <c:pt idx="0">
                  <c:v>47.913339999999998</c:v>
                </c:pt>
                <c:pt idx="1">
                  <c:v>82.234220000000008</c:v>
                </c:pt>
                <c:pt idx="2">
                  <c:v>82.234220000000008</c:v>
                </c:pt>
                <c:pt idx="3">
                  <c:v>82.234220000000008</c:v>
                </c:pt>
                <c:pt idx="4">
                  <c:v>82.234220000000008</c:v>
                </c:pt>
                <c:pt idx="5">
                  <c:v>82.234220000000008</c:v>
                </c:pt>
                <c:pt idx="6">
                  <c:v>169.55250000000001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19-4833-B800-EDAE850EF34F}"/>
            </c:ext>
          </c:extLst>
        </c:ser>
        <c:ser>
          <c:idx val="2"/>
          <c:order val="2"/>
          <c:tx>
            <c:strRef>
              <c:f>Sheet3!$A$6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Sheet3!$B$3:$H$3</c:f>
              <c:strCache>
                <c:ptCount val="7"/>
                <c:pt idx="0">
                  <c:v>Worst Case GWh</c:v>
                </c:pt>
                <c:pt idx="1">
                  <c:v> λ=0</c:v>
                </c:pt>
                <c:pt idx="2">
                  <c:v> λ=0.25</c:v>
                </c:pt>
                <c:pt idx="3">
                  <c:v> λ=0.5</c:v>
                </c:pt>
                <c:pt idx="4">
                  <c:v> λ=0.75</c:v>
                </c:pt>
                <c:pt idx="5">
                  <c:v> λ=1</c:v>
                </c:pt>
                <c:pt idx="6">
                  <c:v>Best Case GWh</c:v>
                </c:pt>
              </c:strCache>
            </c:strRef>
          </c:cat>
          <c:val>
            <c:numRef>
              <c:f>Sheet3!$B$6:$H$6</c:f>
              <c:numCache>
                <c:formatCode>General</c:formatCode>
                <c:ptCount val="7"/>
                <c:pt idx="0">
                  <c:v>47.913339999999998</c:v>
                </c:pt>
                <c:pt idx="1">
                  <c:v>82.234220000000008</c:v>
                </c:pt>
                <c:pt idx="2">
                  <c:v>82.234220000000008</c:v>
                </c:pt>
                <c:pt idx="3">
                  <c:v>82.234220000000008</c:v>
                </c:pt>
                <c:pt idx="4">
                  <c:v>82.234220000000008</c:v>
                </c:pt>
                <c:pt idx="5">
                  <c:v>82.234220000000008</c:v>
                </c:pt>
                <c:pt idx="6">
                  <c:v>169.55250000000001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19-4833-B800-EDAE850EF34F}"/>
            </c:ext>
          </c:extLst>
        </c:ser>
        <c:ser>
          <c:idx val="7"/>
          <c:order val="7"/>
          <c:tx>
            <c:strRef>
              <c:f>Sheet3!$A$11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Sheet3!$B$3:$H$3</c:f>
              <c:strCache>
                <c:ptCount val="7"/>
                <c:pt idx="0">
                  <c:v>Worst Case GWh</c:v>
                </c:pt>
                <c:pt idx="1">
                  <c:v> λ=0</c:v>
                </c:pt>
                <c:pt idx="2">
                  <c:v> λ=0.25</c:v>
                </c:pt>
                <c:pt idx="3">
                  <c:v> λ=0.5</c:v>
                </c:pt>
                <c:pt idx="4">
                  <c:v> λ=0.75</c:v>
                </c:pt>
                <c:pt idx="5">
                  <c:v> λ=1</c:v>
                </c:pt>
                <c:pt idx="6">
                  <c:v>Best Case GWh</c:v>
                </c:pt>
              </c:strCache>
            </c:strRef>
          </c:cat>
          <c:val>
            <c:numRef>
              <c:f>Sheet3!$B$11:$H$11</c:f>
              <c:numCache>
                <c:formatCode>General</c:formatCode>
                <c:ptCount val="7"/>
                <c:pt idx="0">
                  <c:v>95.826679999999996</c:v>
                </c:pt>
                <c:pt idx="1">
                  <c:v>164.4684</c:v>
                </c:pt>
                <c:pt idx="2">
                  <c:v>164.4684</c:v>
                </c:pt>
                <c:pt idx="3">
                  <c:v>164.4684</c:v>
                </c:pt>
                <c:pt idx="4">
                  <c:v>164.4684</c:v>
                </c:pt>
                <c:pt idx="5">
                  <c:v>164.4684</c:v>
                </c:pt>
                <c:pt idx="6">
                  <c:v>339.10500000000002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019-4833-B800-EDAE850EF34F}"/>
            </c:ext>
          </c:extLst>
        </c:ser>
        <c:ser>
          <c:idx val="8"/>
          <c:order val="8"/>
          <c:tx>
            <c:strRef>
              <c:f>Sheet3!$A$12</c:f>
              <c:strCache>
                <c:ptCount val="1"/>
                <c:pt idx="0">
                  <c:v>Storage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Sheet3!$B$3:$H$3</c:f>
              <c:strCache>
                <c:ptCount val="7"/>
                <c:pt idx="0">
                  <c:v>Worst Case GWh</c:v>
                </c:pt>
                <c:pt idx="1">
                  <c:v> λ=0</c:v>
                </c:pt>
                <c:pt idx="2">
                  <c:v> λ=0.25</c:v>
                </c:pt>
                <c:pt idx="3">
                  <c:v> λ=0.5</c:v>
                </c:pt>
                <c:pt idx="4">
                  <c:v> λ=0.75</c:v>
                </c:pt>
                <c:pt idx="5">
                  <c:v> λ=1</c:v>
                </c:pt>
                <c:pt idx="6">
                  <c:v>Best Case GWh</c:v>
                </c:pt>
              </c:strCache>
            </c:strRef>
          </c:cat>
          <c:val>
            <c:numRef>
              <c:f>Sheet3!$B$12:$H$12</c:f>
              <c:numCache>
                <c:formatCode>General</c:formatCode>
                <c:ptCount val="7"/>
                <c:pt idx="0">
                  <c:v>239.56670000000003</c:v>
                </c:pt>
                <c:pt idx="1">
                  <c:v>822.34219999999993</c:v>
                </c:pt>
                <c:pt idx="2">
                  <c:v>411.17109999999997</c:v>
                </c:pt>
                <c:pt idx="3">
                  <c:v>411.17109999999997</c:v>
                </c:pt>
                <c:pt idx="4">
                  <c:v>411.17109999999997</c:v>
                </c:pt>
                <c:pt idx="5">
                  <c:v>411.17109999999997</c:v>
                </c:pt>
                <c:pt idx="6">
                  <c:v>847.76240000000007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019-4833-B800-EDAE850EF34F}"/>
            </c:ext>
          </c:extLst>
        </c:ser>
        <c:ser>
          <c:idx val="3"/>
          <c:order val="3"/>
          <c:tx>
            <c:strRef>
              <c:f>Sheet3!$A$7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Sheet3!$B$3:$H$3</c:f>
              <c:strCache>
                <c:ptCount val="7"/>
                <c:pt idx="0">
                  <c:v>Worst Case GWh</c:v>
                </c:pt>
                <c:pt idx="1">
                  <c:v> λ=0</c:v>
                </c:pt>
                <c:pt idx="2">
                  <c:v> λ=0.25</c:v>
                </c:pt>
                <c:pt idx="3">
                  <c:v> λ=0.5</c:v>
                </c:pt>
                <c:pt idx="4">
                  <c:v> λ=0.75</c:v>
                </c:pt>
                <c:pt idx="5">
                  <c:v> λ=1</c:v>
                </c:pt>
                <c:pt idx="6">
                  <c:v>Best Case GWh</c:v>
                </c:pt>
              </c:strCache>
            </c:strRef>
          </c:cat>
          <c:val>
            <c:numRef>
              <c:f>Sheet3!$B$7:$H$7</c:f>
              <c:numCache>
                <c:formatCode>General</c:formatCode>
                <c:ptCount val="7"/>
                <c:pt idx="0">
                  <c:v>383.30670000000003</c:v>
                </c:pt>
                <c:pt idx="1">
                  <c:v>575.6395</c:v>
                </c:pt>
                <c:pt idx="2">
                  <c:v>657.87380000000007</c:v>
                </c:pt>
                <c:pt idx="3">
                  <c:v>657.87380000000007</c:v>
                </c:pt>
                <c:pt idx="4">
                  <c:v>575.6395</c:v>
                </c:pt>
                <c:pt idx="5">
                  <c:v>575.6395</c:v>
                </c:pt>
                <c:pt idx="6">
                  <c:v>1356.42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19-4833-B800-EDAE850EF34F}"/>
            </c:ext>
          </c:extLst>
        </c:ser>
        <c:ser>
          <c:idx val="4"/>
          <c:order val="4"/>
          <c:tx>
            <c:strRef>
              <c:f>Sheet3!$A$8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Sheet3!$B$3:$H$3</c:f>
              <c:strCache>
                <c:ptCount val="7"/>
                <c:pt idx="0">
                  <c:v>Worst Case GWh</c:v>
                </c:pt>
                <c:pt idx="1">
                  <c:v> λ=0</c:v>
                </c:pt>
                <c:pt idx="2">
                  <c:v> λ=0.25</c:v>
                </c:pt>
                <c:pt idx="3">
                  <c:v> λ=0.5</c:v>
                </c:pt>
                <c:pt idx="4">
                  <c:v> λ=0.75</c:v>
                </c:pt>
                <c:pt idx="5">
                  <c:v> λ=1</c:v>
                </c:pt>
                <c:pt idx="6">
                  <c:v>Best Case GWh</c:v>
                </c:pt>
              </c:strCache>
            </c:strRef>
          </c:cat>
          <c:val>
            <c:numRef>
              <c:f>Sheet3!$B$8:$H$8</c:f>
              <c:numCache>
                <c:formatCode>General</c:formatCode>
                <c:ptCount val="7"/>
                <c:pt idx="0">
                  <c:v>383.30670000000003</c:v>
                </c:pt>
                <c:pt idx="1">
                  <c:v>657.87380000000007</c:v>
                </c:pt>
                <c:pt idx="2">
                  <c:v>657.87380000000007</c:v>
                </c:pt>
                <c:pt idx="3">
                  <c:v>657.87380000000007</c:v>
                </c:pt>
                <c:pt idx="4">
                  <c:v>657.87380000000007</c:v>
                </c:pt>
                <c:pt idx="5">
                  <c:v>657.87380000000007</c:v>
                </c:pt>
                <c:pt idx="6">
                  <c:v>1356.42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19-4833-B800-EDAE850EF34F}"/>
            </c:ext>
          </c:extLst>
        </c:ser>
        <c:ser>
          <c:idx val="5"/>
          <c:order val="5"/>
          <c:tx>
            <c:strRef>
              <c:f>Sheet3!$A$9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Sheet3!$B$3:$H$3</c:f>
              <c:strCache>
                <c:ptCount val="7"/>
                <c:pt idx="0">
                  <c:v>Worst Case GWh</c:v>
                </c:pt>
                <c:pt idx="1">
                  <c:v> λ=0</c:v>
                </c:pt>
                <c:pt idx="2">
                  <c:v> λ=0.25</c:v>
                </c:pt>
                <c:pt idx="3">
                  <c:v> λ=0.5</c:v>
                </c:pt>
                <c:pt idx="4">
                  <c:v> λ=0.75</c:v>
                </c:pt>
                <c:pt idx="5">
                  <c:v> λ=1</c:v>
                </c:pt>
                <c:pt idx="6">
                  <c:v>Best Case GWh</c:v>
                </c:pt>
              </c:strCache>
            </c:strRef>
          </c:cat>
          <c:val>
            <c:numRef>
              <c:f>Sheet3!$B$9:$H$9</c:f>
              <c:numCache>
                <c:formatCode>General</c:formatCode>
                <c:ptCount val="7"/>
                <c:pt idx="0">
                  <c:v>1916.5340000000001</c:v>
                </c:pt>
                <c:pt idx="1">
                  <c:v>2960.4319999999998</c:v>
                </c:pt>
                <c:pt idx="2">
                  <c:v>3289.3690000000001</c:v>
                </c:pt>
                <c:pt idx="3">
                  <c:v>3289.3690000000001</c:v>
                </c:pt>
                <c:pt idx="4">
                  <c:v>3289.3690000000001</c:v>
                </c:pt>
                <c:pt idx="5">
                  <c:v>3289.3690000000001</c:v>
                </c:pt>
                <c:pt idx="6">
                  <c:v>6782.0990000000002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19-4833-B800-EDAE850EF34F}"/>
            </c:ext>
          </c:extLst>
        </c:ser>
        <c:ser>
          <c:idx val="6"/>
          <c:order val="6"/>
          <c:tx>
            <c:strRef>
              <c:f>Sheet3!$A$10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Sheet3!$B$3:$H$3</c:f>
              <c:strCache>
                <c:ptCount val="7"/>
                <c:pt idx="0">
                  <c:v>Worst Case GWh</c:v>
                </c:pt>
                <c:pt idx="1">
                  <c:v> λ=0</c:v>
                </c:pt>
                <c:pt idx="2">
                  <c:v> λ=0.25</c:v>
                </c:pt>
                <c:pt idx="3">
                  <c:v> λ=0.5</c:v>
                </c:pt>
                <c:pt idx="4">
                  <c:v> λ=0.75</c:v>
                </c:pt>
                <c:pt idx="5">
                  <c:v> λ=1</c:v>
                </c:pt>
                <c:pt idx="6">
                  <c:v>Best Case GWh</c:v>
                </c:pt>
              </c:strCache>
            </c:strRef>
          </c:cat>
          <c:val>
            <c:numRef>
              <c:f>Sheet3!$B$10:$H$10</c:f>
              <c:numCache>
                <c:formatCode>General</c:formatCode>
                <c:ptCount val="7"/>
                <c:pt idx="0">
                  <c:v>1197.8340000000001</c:v>
                </c:pt>
                <c:pt idx="1">
                  <c:v>2055.8560000000002</c:v>
                </c:pt>
                <c:pt idx="2">
                  <c:v>2055.8560000000002</c:v>
                </c:pt>
                <c:pt idx="3">
                  <c:v>2055.8560000000002</c:v>
                </c:pt>
                <c:pt idx="4">
                  <c:v>2055.8560000000002</c:v>
                </c:pt>
                <c:pt idx="5">
                  <c:v>2055.8560000000002</c:v>
                </c:pt>
                <c:pt idx="6">
                  <c:v>4238.8119999999999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19-4833-B800-EDAE850EF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421025279"/>
        <c:axId val="421026719"/>
      </c:barChart>
      <c:catAx>
        <c:axId val="42102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026719"/>
        <c:crosses val="autoZero"/>
        <c:auto val="1"/>
        <c:lblAlgn val="ctr"/>
        <c:lblOffset val="100"/>
        <c:noMultiLvlLbl val="0"/>
      </c:catAx>
      <c:valAx>
        <c:axId val="42102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Supply</a:t>
                </a:r>
                <a:r>
                  <a:rPr lang="en-IN" baseline="0"/>
                  <a:t> GWh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0252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Sheet3!$A$4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Sheet3!$B$3:$G$3</c:f>
              <c:strCache>
                <c:ptCount val="6"/>
                <c:pt idx="0">
                  <c:v>Worst Case GWh</c:v>
                </c:pt>
                <c:pt idx="1">
                  <c:v> λ=0</c:v>
                </c:pt>
                <c:pt idx="2">
                  <c:v> λ=0.25</c:v>
                </c:pt>
                <c:pt idx="3">
                  <c:v> λ=0.5</c:v>
                </c:pt>
                <c:pt idx="4">
                  <c:v> λ=0.75</c:v>
                </c:pt>
                <c:pt idx="5">
                  <c:v> λ=1</c:v>
                </c:pt>
              </c:strCache>
            </c:strRef>
          </c:cat>
          <c:val>
            <c:numRef>
              <c:f>Sheet3!$B$4:$G$4</c:f>
              <c:numCache>
                <c:formatCode>General</c:formatCode>
                <c:ptCount val="6"/>
                <c:pt idx="0">
                  <c:v>479.13340000000005</c:v>
                </c:pt>
                <c:pt idx="1">
                  <c:v>822.34219999999993</c:v>
                </c:pt>
                <c:pt idx="2">
                  <c:v>822.34219999999993</c:v>
                </c:pt>
                <c:pt idx="3">
                  <c:v>822.34219999999993</c:v>
                </c:pt>
                <c:pt idx="4">
                  <c:v>904.57640000000004</c:v>
                </c:pt>
                <c:pt idx="5">
                  <c:v>904.57640000000004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A-482A-BD5F-7EFA8E21157C}"/>
            </c:ext>
          </c:extLst>
        </c:ser>
        <c:ser>
          <c:idx val="1"/>
          <c:order val="1"/>
          <c:tx>
            <c:strRef>
              <c:f>Sheet3!$A$5</c:f>
              <c:strCache>
                <c:ptCount val="1"/>
                <c:pt idx="0">
                  <c:v>Oil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Sheet3!$B$3:$G$3</c:f>
              <c:strCache>
                <c:ptCount val="6"/>
                <c:pt idx="0">
                  <c:v>Worst Case GWh</c:v>
                </c:pt>
                <c:pt idx="1">
                  <c:v> λ=0</c:v>
                </c:pt>
                <c:pt idx="2">
                  <c:v> λ=0.25</c:v>
                </c:pt>
                <c:pt idx="3">
                  <c:v> λ=0.5</c:v>
                </c:pt>
                <c:pt idx="4">
                  <c:v> λ=0.75</c:v>
                </c:pt>
                <c:pt idx="5">
                  <c:v> λ=1</c:v>
                </c:pt>
              </c:strCache>
            </c:strRef>
          </c:cat>
          <c:val>
            <c:numRef>
              <c:f>Sheet3!$B$5:$G$5</c:f>
              <c:numCache>
                <c:formatCode>General</c:formatCode>
                <c:ptCount val="6"/>
                <c:pt idx="0">
                  <c:v>47.913339999999998</c:v>
                </c:pt>
                <c:pt idx="1">
                  <c:v>82.234220000000008</c:v>
                </c:pt>
                <c:pt idx="2">
                  <c:v>82.234220000000008</c:v>
                </c:pt>
                <c:pt idx="3">
                  <c:v>82.234220000000008</c:v>
                </c:pt>
                <c:pt idx="4">
                  <c:v>82.234220000000008</c:v>
                </c:pt>
                <c:pt idx="5">
                  <c:v>82.234220000000008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8A-482A-BD5F-7EFA8E21157C}"/>
            </c:ext>
          </c:extLst>
        </c:ser>
        <c:ser>
          <c:idx val="2"/>
          <c:order val="2"/>
          <c:tx>
            <c:strRef>
              <c:f>Sheet3!$A$6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Sheet3!$B$3:$G$3</c:f>
              <c:strCache>
                <c:ptCount val="6"/>
                <c:pt idx="0">
                  <c:v>Worst Case GWh</c:v>
                </c:pt>
                <c:pt idx="1">
                  <c:v> λ=0</c:v>
                </c:pt>
                <c:pt idx="2">
                  <c:v> λ=0.25</c:v>
                </c:pt>
                <c:pt idx="3">
                  <c:v> λ=0.5</c:v>
                </c:pt>
                <c:pt idx="4">
                  <c:v> λ=0.75</c:v>
                </c:pt>
                <c:pt idx="5">
                  <c:v> λ=1</c:v>
                </c:pt>
              </c:strCache>
            </c:strRef>
          </c:cat>
          <c:val>
            <c:numRef>
              <c:f>Sheet3!$B$6:$G$6</c:f>
              <c:numCache>
                <c:formatCode>General</c:formatCode>
                <c:ptCount val="6"/>
                <c:pt idx="0">
                  <c:v>47.913339999999998</c:v>
                </c:pt>
                <c:pt idx="1">
                  <c:v>82.234220000000008</c:v>
                </c:pt>
                <c:pt idx="2">
                  <c:v>82.234220000000008</c:v>
                </c:pt>
                <c:pt idx="3">
                  <c:v>82.234220000000008</c:v>
                </c:pt>
                <c:pt idx="4">
                  <c:v>82.234220000000008</c:v>
                </c:pt>
                <c:pt idx="5">
                  <c:v>82.234220000000008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8A-482A-BD5F-7EFA8E21157C}"/>
            </c:ext>
          </c:extLst>
        </c:ser>
        <c:ser>
          <c:idx val="3"/>
          <c:order val="3"/>
          <c:tx>
            <c:strRef>
              <c:f>Sheet3!$A$7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Sheet3!$B$3:$G$3</c:f>
              <c:strCache>
                <c:ptCount val="6"/>
                <c:pt idx="0">
                  <c:v>Worst Case GWh</c:v>
                </c:pt>
                <c:pt idx="1">
                  <c:v> λ=0</c:v>
                </c:pt>
                <c:pt idx="2">
                  <c:v> λ=0.25</c:v>
                </c:pt>
                <c:pt idx="3">
                  <c:v> λ=0.5</c:v>
                </c:pt>
                <c:pt idx="4">
                  <c:v> λ=0.75</c:v>
                </c:pt>
                <c:pt idx="5">
                  <c:v> λ=1</c:v>
                </c:pt>
              </c:strCache>
            </c:strRef>
          </c:cat>
          <c:val>
            <c:numRef>
              <c:f>Sheet3!$B$7:$G$7</c:f>
              <c:numCache>
                <c:formatCode>General</c:formatCode>
                <c:ptCount val="6"/>
                <c:pt idx="0">
                  <c:v>383.30670000000003</c:v>
                </c:pt>
                <c:pt idx="1">
                  <c:v>575.6395</c:v>
                </c:pt>
                <c:pt idx="2">
                  <c:v>657.87380000000007</c:v>
                </c:pt>
                <c:pt idx="3">
                  <c:v>657.87380000000007</c:v>
                </c:pt>
                <c:pt idx="4">
                  <c:v>575.6395</c:v>
                </c:pt>
                <c:pt idx="5">
                  <c:v>575.6395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8A-482A-BD5F-7EFA8E21157C}"/>
            </c:ext>
          </c:extLst>
        </c:ser>
        <c:ser>
          <c:idx val="4"/>
          <c:order val="4"/>
          <c:tx>
            <c:strRef>
              <c:f>Sheet3!$A$8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Sheet3!$B$3:$G$3</c:f>
              <c:strCache>
                <c:ptCount val="6"/>
                <c:pt idx="0">
                  <c:v>Worst Case GWh</c:v>
                </c:pt>
                <c:pt idx="1">
                  <c:v> λ=0</c:v>
                </c:pt>
                <c:pt idx="2">
                  <c:v> λ=0.25</c:v>
                </c:pt>
                <c:pt idx="3">
                  <c:v> λ=0.5</c:v>
                </c:pt>
                <c:pt idx="4">
                  <c:v> λ=0.75</c:v>
                </c:pt>
                <c:pt idx="5">
                  <c:v> λ=1</c:v>
                </c:pt>
              </c:strCache>
            </c:strRef>
          </c:cat>
          <c:val>
            <c:numRef>
              <c:f>Sheet3!$B$8:$G$8</c:f>
              <c:numCache>
                <c:formatCode>General</c:formatCode>
                <c:ptCount val="6"/>
                <c:pt idx="0">
                  <c:v>383.30670000000003</c:v>
                </c:pt>
                <c:pt idx="1">
                  <c:v>657.87380000000007</c:v>
                </c:pt>
                <c:pt idx="2">
                  <c:v>657.87380000000007</c:v>
                </c:pt>
                <c:pt idx="3">
                  <c:v>657.87380000000007</c:v>
                </c:pt>
                <c:pt idx="4">
                  <c:v>657.87380000000007</c:v>
                </c:pt>
                <c:pt idx="5">
                  <c:v>657.87380000000007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8A-482A-BD5F-7EFA8E21157C}"/>
            </c:ext>
          </c:extLst>
        </c:ser>
        <c:ser>
          <c:idx val="6"/>
          <c:order val="6"/>
          <c:tx>
            <c:strRef>
              <c:f>Sheet3!$A$10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Sheet3!$B$3:$G$3</c:f>
              <c:strCache>
                <c:ptCount val="6"/>
                <c:pt idx="0">
                  <c:v>Worst Case GWh</c:v>
                </c:pt>
                <c:pt idx="1">
                  <c:v> λ=0</c:v>
                </c:pt>
                <c:pt idx="2">
                  <c:v> λ=0.25</c:v>
                </c:pt>
                <c:pt idx="3">
                  <c:v> λ=0.5</c:v>
                </c:pt>
                <c:pt idx="4">
                  <c:v> λ=0.75</c:v>
                </c:pt>
                <c:pt idx="5">
                  <c:v> λ=1</c:v>
                </c:pt>
              </c:strCache>
            </c:strRef>
          </c:cat>
          <c:val>
            <c:numRef>
              <c:f>Sheet3!$B$10:$G$10</c:f>
              <c:numCache>
                <c:formatCode>General</c:formatCode>
                <c:ptCount val="6"/>
                <c:pt idx="0">
                  <c:v>1197.8340000000001</c:v>
                </c:pt>
                <c:pt idx="1">
                  <c:v>2055.8560000000002</c:v>
                </c:pt>
                <c:pt idx="2">
                  <c:v>2055.8560000000002</c:v>
                </c:pt>
                <c:pt idx="3">
                  <c:v>2055.8560000000002</c:v>
                </c:pt>
                <c:pt idx="4">
                  <c:v>2055.8560000000002</c:v>
                </c:pt>
                <c:pt idx="5">
                  <c:v>2055.8560000000002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8A-482A-BD5F-7EFA8E21157C}"/>
            </c:ext>
          </c:extLst>
        </c:ser>
        <c:ser>
          <c:idx val="7"/>
          <c:order val="7"/>
          <c:tx>
            <c:strRef>
              <c:f>Sheet3!$A$11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Sheet3!$B$3:$G$3</c:f>
              <c:strCache>
                <c:ptCount val="6"/>
                <c:pt idx="0">
                  <c:v>Worst Case GWh</c:v>
                </c:pt>
                <c:pt idx="1">
                  <c:v> λ=0</c:v>
                </c:pt>
                <c:pt idx="2">
                  <c:v> λ=0.25</c:v>
                </c:pt>
                <c:pt idx="3">
                  <c:v> λ=0.5</c:v>
                </c:pt>
                <c:pt idx="4">
                  <c:v> λ=0.75</c:v>
                </c:pt>
                <c:pt idx="5">
                  <c:v> λ=1</c:v>
                </c:pt>
              </c:strCache>
            </c:strRef>
          </c:cat>
          <c:val>
            <c:numRef>
              <c:f>Sheet3!$B$11:$G$11</c:f>
              <c:numCache>
                <c:formatCode>General</c:formatCode>
                <c:ptCount val="6"/>
                <c:pt idx="0">
                  <c:v>95.826679999999996</c:v>
                </c:pt>
                <c:pt idx="1">
                  <c:v>164.4684</c:v>
                </c:pt>
                <c:pt idx="2">
                  <c:v>164.4684</c:v>
                </c:pt>
                <c:pt idx="3">
                  <c:v>164.4684</c:v>
                </c:pt>
                <c:pt idx="4">
                  <c:v>164.4684</c:v>
                </c:pt>
                <c:pt idx="5">
                  <c:v>164.4684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88A-482A-BD5F-7EFA8E21157C}"/>
            </c:ext>
          </c:extLst>
        </c:ser>
        <c:ser>
          <c:idx val="8"/>
          <c:order val="8"/>
          <c:tx>
            <c:strRef>
              <c:f>Sheet3!$A$12</c:f>
              <c:strCache>
                <c:ptCount val="1"/>
                <c:pt idx="0">
                  <c:v>Storage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Sheet3!$B$3:$G$3</c:f>
              <c:strCache>
                <c:ptCount val="6"/>
                <c:pt idx="0">
                  <c:v>Worst Case GWh</c:v>
                </c:pt>
                <c:pt idx="1">
                  <c:v> λ=0</c:v>
                </c:pt>
                <c:pt idx="2">
                  <c:v> λ=0.25</c:v>
                </c:pt>
                <c:pt idx="3">
                  <c:v> λ=0.5</c:v>
                </c:pt>
                <c:pt idx="4">
                  <c:v> λ=0.75</c:v>
                </c:pt>
                <c:pt idx="5">
                  <c:v> λ=1</c:v>
                </c:pt>
              </c:strCache>
            </c:strRef>
          </c:cat>
          <c:val>
            <c:numRef>
              <c:f>Sheet3!$B$12:$G$12</c:f>
              <c:numCache>
                <c:formatCode>General</c:formatCode>
                <c:ptCount val="6"/>
                <c:pt idx="0">
                  <c:v>239.56670000000003</c:v>
                </c:pt>
                <c:pt idx="1">
                  <c:v>822.34219999999993</c:v>
                </c:pt>
                <c:pt idx="2">
                  <c:v>411.17109999999997</c:v>
                </c:pt>
                <c:pt idx="3">
                  <c:v>411.17109999999997</c:v>
                </c:pt>
                <c:pt idx="4">
                  <c:v>411.17109999999997</c:v>
                </c:pt>
                <c:pt idx="5">
                  <c:v>411.17109999999997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88A-482A-BD5F-7EFA8E21157C}"/>
            </c:ext>
          </c:extLst>
        </c:ser>
        <c:ser>
          <c:idx val="5"/>
          <c:order val="5"/>
          <c:tx>
            <c:strRef>
              <c:f>Sheet3!$A$9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Sheet3!$B$3:$G$3</c:f>
              <c:strCache>
                <c:ptCount val="6"/>
                <c:pt idx="0">
                  <c:v>Worst Case GWh</c:v>
                </c:pt>
                <c:pt idx="1">
                  <c:v> λ=0</c:v>
                </c:pt>
                <c:pt idx="2">
                  <c:v> λ=0.25</c:v>
                </c:pt>
                <c:pt idx="3">
                  <c:v> λ=0.5</c:v>
                </c:pt>
                <c:pt idx="4">
                  <c:v> λ=0.75</c:v>
                </c:pt>
                <c:pt idx="5">
                  <c:v> λ=1</c:v>
                </c:pt>
              </c:strCache>
            </c:strRef>
          </c:cat>
          <c:val>
            <c:numRef>
              <c:f>Sheet3!$B$9:$G$9</c:f>
              <c:numCache>
                <c:formatCode>General</c:formatCode>
                <c:ptCount val="6"/>
                <c:pt idx="0">
                  <c:v>1916.5340000000001</c:v>
                </c:pt>
                <c:pt idx="1">
                  <c:v>2960.4319999999998</c:v>
                </c:pt>
                <c:pt idx="2">
                  <c:v>3289.3690000000001</c:v>
                </c:pt>
                <c:pt idx="3">
                  <c:v>3289.3690000000001</c:v>
                </c:pt>
                <c:pt idx="4">
                  <c:v>3289.3690000000001</c:v>
                </c:pt>
                <c:pt idx="5">
                  <c:v>3289.3690000000001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88A-482A-BD5F-7EFA8E211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10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  <c:axId val="158824383"/>
        <c:axId val="158826783"/>
      </c:barChart>
      <c:catAx>
        <c:axId val="158824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Scenarios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26783"/>
        <c:crosses val="autoZero"/>
        <c:auto val="1"/>
        <c:lblAlgn val="ctr"/>
        <c:lblOffset val="100"/>
        <c:noMultiLvlLbl val="0"/>
      </c:catAx>
      <c:valAx>
        <c:axId val="15882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2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  <cx:data id="1">
      <cx:strDim type="cat">
        <cx:f>_xlchart.v1.0</cx:f>
      </cx:strDim>
      <cx:numDim type="size">
        <cx:f>_xlchart.v1.4</cx:f>
      </cx:numDim>
    </cx:data>
    <cx:data id="2">
      <cx:strDim type="cat">
        <cx:f>_xlchart.v1.0</cx:f>
      </cx:strDim>
      <cx:numDim type="size">
        <cx:f>_xlchart.v1.6</cx:f>
      </cx:numDim>
    </cx:data>
    <cx:data id="3">
      <cx:strDim type="cat">
        <cx:f>_xlchart.v1.0</cx:f>
      </cx:strDim>
      <cx:numDim type="size">
        <cx:f>_xlchart.v1.8</cx:f>
      </cx:numDim>
    </cx:data>
  </cx:chartData>
  <cx:chart>
    <cx:plotArea>
      <cx:plotAreaRegion>
        <cx:series layoutId="treemap" uniqueId="{C47F9297-91FF-4FB9-A246-967A4DD3876B}" formatIdx="0">
          <cx:tx>
            <cx:txData>
              <cx:f>_xlchart.v1.1</cx:f>
              <cx:v>Worst Case GWh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  <cx:series layoutId="treemap" hidden="1" uniqueId="{D84A2415-2F8C-47AF-BF83-8D4C83BE8299}" formatIdx="1">
          <cx:tx>
            <cx:txData>
              <cx:f>_xlchart.v1.3</cx:f>
              <cx:v> λ=0</cx:v>
            </cx:txData>
          </cx:tx>
          <cx:dataLabels pos="inEnd">
            <cx:visibility seriesName="0" categoryName="1" value="0"/>
          </cx:dataLabels>
          <cx:dataId val="1"/>
          <cx:layoutPr>
            <cx:parentLabelLayout val="overlapping"/>
          </cx:layoutPr>
        </cx:series>
        <cx:series layoutId="treemap" hidden="1" uniqueId="{003FB32B-E271-487C-8409-065E43E0B3B1}" formatIdx="2">
          <cx:tx>
            <cx:txData>
              <cx:f>_xlchart.v1.5</cx:f>
              <cx:v> λ=0.25</cx:v>
            </cx:txData>
          </cx:tx>
          <cx:dataLabels pos="inEnd">
            <cx:visibility seriesName="0" categoryName="1" value="0"/>
          </cx:dataLabels>
          <cx:dataId val="2"/>
          <cx:layoutPr>
            <cx:parentLabelLayout val="overlapping"/>
          </cx:layoutPr>
        </cx:series>
        <cx:series layoutId="treemap" hidden="1" uniqueId="{A9C1AF32-2D9A-4A6D-911B-9F63792168BF}" formatIdx="3">
          <cx:tx>
            <cx:txData>
              <cx:f>_xlchart.v1.7</cx:f>
              <cx:v> λ=0.5</cx:v>
            </cx:txData>
          </cx:tx>
          <cx:dataLabels pos="inEnd">
            <cx:visibility seriesName="0" categoryName="1" value="0"/>
          </cx:dataLabels>
          <cx:dataId val="3"/>
          <cx:layoutPr>
            <cx:parentLabelLayout val="overlapping"/>
          </cx:layoutPr>
        </cx:series>
      </cx:plotAreaRegion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size">
        <cx:f>_xlchart.v1.11</cx:f>
      </cx:numDim>
    </cx:data>
    <cx:data id="1">
      <cx:strDim type="cat">
        <cx:f>_xlchart.v1.9</cx:f>
      </cx:strDim>
      <cx:numDim type="size">
        <cx:f>_xlchart.v1.13</cx:f>
      </cx:numDim>
    </cx:data>
    <cx:data id="2">
      <cx:strDim type="cat">
        <cx:f>_xlchart.v1.9</cx:f>
      </cx:strDim>
      <cx:numDim type="size">
        <cx:f>_xlchart.v1.15</cx:f>
      </cx:numDim>
    </cx:data>
  </cx:chartData>
  <cx:chart>
    <cx:plotArea>
      <cx:plotAreaRegion>
        <cx:series layoutId="treemap" uniqueId="{8722D25E-D8C5-4D79-9DC0-62416A6D2720}" formatIdx="0">
          <cx:tx>
            <cx:txData>
              <cx:f>_xlchart.v1.10</cx:f>
              <cx:v>Worst Case GWh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  <cx:series layoutId="treemap" hidden="1" uniqueId="{25EA211B-0A80-4C81-A3F8-4049BE1CEA69}" formatIdx="1">
          <cx:tx>
            <cx:txData>
              <cx:f>_xlchart.v1.12</cx:f>
              <cx:v>Supply GWh</cx:v>
            </cx:txData>
          </cx:tx>
          <cx:dataLabels pos="inEnd">
            <cx:visibility seriesName="0" categoryName="1" value="0"/>
          </cx:dataLabels>
          <cx:dataId val="1"/>
          <cx:layoutPr>
            <cx:parentLabelLayout val="overlapping"/>
          </cx:layoutPr>
        </cx:series>
        <cx:series layoutId="treemap" hidden="1" uniqueId="{9326A2DA-1430-41F3-956A-3B6F4CAB4AEC}" formatIdx="2">
          <cx:tx>
            <cx:txData>
              <cx:f>_xlchart.v1.14</cx:f>
              <cx:v>Supply GWh</cx:v>
            </cx:txData>
          </cx:tx>
          <cx:dataLabels pos="inEnd">
            <cx:visibility seriesName="0" categoryName="1" value="0"/>
          </cx:dataLabels>
          <cx:dataId val="2"/>
          <cx:layoutPr>
            <cx:parentLabelLayout val="overlapping"/>
          </cx:layoutPr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microsoft.com/office/2014/relationships/chartEx" Target="../charts/chartEx1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298450</xdr:colOff>
      <xdr:row>31</xdr:row>
      <xdr:rowOff>82550</xdr:rowOff>
    </xdr:from>
    <xdr:to>
      <xdr:col>20</xdr:col>
      <xdr:colOff>0</xdr:colOff>
      <xdr:row>53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3A0C00-B274-5756-0647-663F50666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79374</xdr:colOff>
      <xdr:row>26</xdr:row>
      <xdr:rowOff>50800</xdr:rowOff>
    </xdr:from>
    <xdr:to>
      <xdr:col>28</xdr:col>
      <xdr:colOff>463549</xdr:colOff>
      <xdr:row>43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1C4D5E-B53D-505C-B5BC-EFCD4B354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284574</xdr:colOff>
      <xdr:row>0</xdr:row>
      <xdr:rowOff>199437</xdr:rowOff>
    </xdr:from>
    <xdr:to>
      <xdr:col>15</xdr:col>
      <xdr:colOff>463315</xdr:colOff>
      <xdr:row>13</xdr:row>
      <xdr:rowOff>82785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C51F2D-002F-45E4-B3EC-04D63E4029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41043</xdr:colOff>
      <xdr:row>4</xdr:row>
      <xdr:rowOff>150076</xdr:rowOff>
    </xdr:from>
    <xdr:to>
      <xdr:col>18</xdr:col>
      <xdr:colOff>330665</xdr:colOff>
      <xdr:row>39</xdr:row>
      <xdr:rowOff>116158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6E80FE-C7C9-B0FF-7424-F81E4BA76C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180432</xdr:colOff>
      <xdr:row>3</xdr:row>
      <xdr:rowOff>150076</xdr:rowOff>
    </xdr:from>
    <xdr:to>
      <xdr:col>22</xdr:col>
      <xdr:colOff>23231</xdr:colOff>
      <xdr:row>30</xdr:row>
      <xdr:rowOff>30975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FCA635AA-38C3-7B58-9556-45D793C69A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54282" y="1051776"/>
              <a:ext cx="7157999" cy="4503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435982</xdr:colOff>
      <xdr:row>15</xdr:row>
      <xdr:rowOff>103613</xdr:rowOff>
    </xdr:from>
    <xdr:to>
      <xdr:col>10</xdr:col>
      <xdr:colOff>108415</xdr:colOff>
      <xdr:row>41</xdr:row>
      <xdr:rowOff>23231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81FB3AA-992D-9C15-F05E-6530365A0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410105</xdr:colOff>
      <xdr:row>2</xdr:row>
      <xdr:rowOff>115817</xdr:rowOff>
    </xdr:from>
    <xdr:to>
      <xdr:col>24</xdr:col>
      <xdr:colOff>490055</xdr:colOff>
      <xdr:row>14</xdr:row>
      <xdr:rowOff>66146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A4B89D45-9076-F011-D6FA-6FB647F352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14905" y="1017517"/>
              <a:ext cx="3737550" cy="23061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urses\Sem_VII\BTP\excel_work_demand.xlsx" TargetMode="External"/><Relationship Id="rId1" Type="http://schemas.openxmlformats.org/officeDocument/2006/relationships/externalLinkPath" Target="file:///D:\Courses\Sem_VII\BTP\excel_work_dema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energy_demand"/>
      <sheetName val="Sheet2"/>
      <sheetName val="GDP_Intensity"/>
      <sheetName val="Sheet3"/>
      <sheetName val="Sheet4"/>
      <sheetName val="Sheet6"/>
      <sheetName val="Sheet7"/>
    </sheetNames>
    <sheetDataSet>
      <sheetData sheetId="0" refreshError="1"/>
      <sheetData sheetId="1">
        <row r="2">
          <cell r="G2" t="str">
            <v>GDP Intensity Model</v>
          </cell>
          <cell r="H2" t="str">
            <v>Demand Activity Model</v>
          </cell>
        </row>
        <row r="3">
          <cell r="F3" t="str">
            <v>Iron &amp; Steel</v>
          </cell>
          <cell r="G3">
            <v>922.59677799999997</v>
          </cell>
          <cell r="H3">
            <v>967.14232100000004</v>
          </cell>
        </row>
        <row r="4">
          <cell r="F4" t="str">
            <v>Aluminium</v>
          </cell>
          <cell r="G4">
            <v>253.312567</v>
          </cell>
          <cell r="H4">
            <v>80.459226000000001</v>
          </cell>
        </row>
        <row r="5">
          <cell r="F5" t="str">
            <v>Cement</v>
          </cell>
          <cell r="G5">
            <v>0.16531899999999999</v>
          </cell>
          <cell r="H5">
            <v>9.9689630000000005</v>
          </cell>
        </row>
        <row r="6">
          <cell r="F6" t="str">
            <v>Fertiliser</v>
          </cell>
          <cell r="G6">
            <v>99.962261999999996</v>
          </cell>
          <cell r="H6">
            <v>4.9154999999999997E-2</v>
          </cell>
        </row>
        <row r="7">
          <cell r="F7" t="str">
            <v>Petrochemical</v>
          </cell>
          <cell r="G7">
            <v>21.994555999999999</v>
          </cell>
          <cell r="H7">
            <v>41.148406000000001</v>
          </cell>
        </row>
        <row r="8">
          <cell r="F8" t="str">
            <v>Total</v>
          </cell>
          <cell r="G8">
            <v>1298.0314820000001</v>
          </cell>
          <cell r="H8">
            <v>1098.768071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9336-F67B-4D53-91CB-555FC318112D}">
  <dimension ref="A1:L11"/>
  <sheetViews>
    <sheetView topLeftCell="B1" zoomScale="82" workbookViewId="0">
      <selection activeCell="K10" sqref="K10"/>
    </sheetView>
  </sheetViews>
  <sheetFormatPr defaultColWidth="17.26953125" defaultRowHeight="14.5" x14ac:dyDescent="0.35"/>
  <cols>
    <col min="1" max="2" width="17.26953125" style="2"/>
    <col min="3" max="3" width="17.6328125" style="2" customWidth="1"/>
    <col min="4" max="6" width="17.26953125" style="2" customWidth="1"/>
    <col min="7" max="16384" width="17.26953125" style="2"/>
  </cols>
  <sheetData>
    <row r="1" spans="1:12" x14ac:dyDescent="0.35">
      <c r="G1" s="19" t="s">
        <v>16</v>
      </c>
      <c r="H1" s="19"/>
      <c r="I1" s="19"/>
      <c r="J1" s="19" t="s">
        <v>15</v>
      </c>
      <c r="K1" s="19"/>
      <c r="L1" s="19"/>
    </row>
    <row r="2" spans="1:12" ht="29" x14ac:dyDescent="0.35">
      <c r="B2" s="2" t="s">
        <v>5</v>
      </c>
      <c r="C2" s="2" t="s">
        <v>6</v>
      </c>
      <c r="E2" s="2" t="s">
        <v>10</v>
      </c>
      <c r="F2" s="2" t="s">
        <v>11</v>
      </c>
      <c r="G2" s="5" t="s">
        <v>12</v>
      </c>
      <c r="H2" s="5" t="s">
        <v>13</v>
      </c>
      <c r="I2" s="5" t="s">
        <v>14</v>
      </c>
      <c r="J2" s="5" t="s">
        <v>12</v>
      </c>
      <c r="K2" s="5" t="s">
        <v>13</v>
      </c>
      <c r="L2" s="5" t="s">
        <v>14</v>
      </c>
    </row>
    <row r="3" spans="1:12" ht="16.5" x14ac:dyDescent="0.45">
      <c r="A3" s="2" t="s">
        <v>1</v>
      </c>
      <c r="B3" s="3">
        <v>46.497577999999997</v>
      </c>
      <c r="C3" s="2" t="s">
        <v>7</v>
      </c>
      <c r="E3" s="2">
        <v>-1.88</v>
      </c>
      <c r="F3" s="2">
        <v>0.6</v>
      </c>
      <c r="G3" s="7">
        <v>4.5</v>
      </c>
      <c r="H3" s="7">
        <v>6.3</v>
      </c>
      <c r="I3" s="7">
        <v>9.27</v>
      </c>
      <c r="J3" s="2">
        <f>$B3*(1-$E3/100)^(2047-2022)*(1+G3/100)^(2047-2022)</f>
        <v>222.61837079459016</v>
      </c>
      <c r="K3" s="2">
        <f t="shared" ref="K3:L3" si="0">$B3*(1-$E3/100)^(2047-2020)*(1+H3/100)^(2047-2020)</f>
        <v>400.15638742237286</v>
      </c>
      <c r="L3" s="2">
        <f t="shared" si="0"/>
        <v>842.08721664680138</v>
      </c>
    </row>
    <row r="4" spans="1:12" ht="16.5" x14ac:dyDescent="0.45">
      <c r="A4" s="2" t="s">
        <v>2</v>
      </c>
      <c r="B4" s="3">
        <v>4.5285390000000003</v>
      </c>
      <c r="C4" s="2" t="s">
        <v>7</v>
      </c>
      <c r="E4" s="2">
        <v>-6.11</v>
      </c>
      <c r="F4" s="2">
        <v>1.95</v>
      </c>
      <c r="G4" s="7">
        <v>4.5</v>
      </c>
      <c r="H4" s="7">
        <v>6.3</v>
      </c>
      <c r="I4" s="7">
        <v>9.27</v>
      </c>
      <c r="J4" s="2">
        <f>B4*(1-(E4/100))^(2047-2022)*(1+G4/100)^(2047-2022)</f>
        <v>59.947798214819862</v>
      </c>
      <c r="K4" s="2">
        <f>$B4*(1-($E4/100))^(2047-2022)*(1+H4/100)^(2047-2022)</f>
        <v>91.875050055025881</v>
      </c>
      <c r="L4" s="2">
        <f>$B4*(1-($E4/100))^(2047-2022)*(1+I4/100)^(2047-2022)</f>
        <v>182.97407172095333</v>
      </c>
    </row>
    <row r="5" spans="1:12" ht="43.5" x14ac:dyDescent="0.35">
      <c r="A5" s="2" t="s">
        <v>3</v>
      </c>
      <c r="B5" s="4">
        <v>1.0667169999999999</v>
      </c>
      <c r="C5" s="2" t="s">
        <v>8</v>
      </c>
      <c r="D5" s="2" t="s">
        <v>9</v>
      </c>
      <c r="E5" s="2">
        <v>16.170000000000002</v>
      </c>
      <c r="F5" s="2">
        <v>0.4</v>
      </c>
      <c r="G5" s="7">
        <v>0.03</v>
      </c>
      <c r="H5" s="7">
        <v>4.3499999999999997E-2</v>
      </c>
      <c r="I5" s="7">
        <v>0.06</v>
      </c>
      <c r="J5" s="6">
        <f>$B5*((1-$E5/100)^(2047-2022))*((1+G5/100)^(2047-2022))</f>
        <v>1.3070511708843666E-2</v>
      </c>
      <c r="K5" s="6">
        <f t="shared" ref="K5:L7" si="1">$B5*((1-$E5/100)^(2047-2022))*((1+H5/100)^(2047-2022))</f>
        <v>1.3114682950053703E-2</v>
      </c>
      <c r="L5" s="6">
        <f t="shared" si="1"/>
        <v>1.3168864651285757E-2</v>
      </c>
    </row>
    <row r="6" spans="1:12" ht="43.5" x14ac:dyDescent="0.35">
      <c r="A6" s="2" t="s">
        <v>4</v>
      </c>
      <c r="B6" s="4">
        <v>12.70791</v>
      </c>
      <c r="C6" s="2" t="s">
        <v>8</v>
      </c>
      <c r="D6" s="2" t="s">
        <v>9</v>
      </c>
      <c r="E6" s="2">
        <v>2.0099999999999998</v>
      </c>
      <c r="F6" s="2">
        <v>0.75</v>
      </c>
      <c r="G6" s="7">
        <v>0.05</v>
      </c>
      <c r="H6" s="7">
        <v>7.3999999999999996E-2</v>
      </c>
      <c r="I6" s="7">
        <v>0.09</v>
      </c>
      <c r="J6" s="6">
        <f>$B6*((1-$E6/100)^(2047-2022))*((1+G6/100)^(2047-2022))</f>
        <v>7.7454275582039411</v>
      </c>
      <c r="K6" s="6">
        <f t="shared" si="1"/>
        <v>7.7920108523534948</v>
      </c>
      <c r="L6" s="6">
        <f t="shared" si="1"/>
        <v>7.8232156759489175</v>
      </c>
    </row>
    <row r="7" spans="1:12" ht="43.5" x14ac:dyDescent="0.35">
      <c r="A7" s="2" t="s">
        <v>0</v>
      </c>
      <c r="B7" s="4">
        <v>5.946339</v>
      </c>
      <c r="C7" s="2" t="s">
        <v>8</v>
      </c>
      <c r="D7" s="2" t="s">
        <v>9</v>
      </c>
      <c r="E7" s="2">
        <v>3.97</v>
      </c>
      <c r="F7" s="2">
        <v>0.13</v>
      </c>
      <c r="G7" s="7">
        <v>0.04</v>
      </c>
      <c r="H7" s="7">
        <v>6.5000000000000002E-2</v>
      </c>
      <c r="I7" s="7">
        <v>0.08</v>
      </c>
      <c r="J7" s="6">
        <f t="shared" ref="J7" si="2">$B7*((1-$E7/100)^(2047-2022))*((1+G7/100)^(2047-2022))</f>
        <v>2.1815489524606693</v>
      </c>
      <c r="K7" s="6">
        <f t="shared" si="1"/>
        <v>2.1952191314742513</v>
      </c>
      <c r="L7" s="6">
        <f t="shared" si="1"/>
        <v>2.2034606713525218</v>
      </c>
    </row>
    <row r="8" spans="1:12" x14ac:dyDescent="0.35">
      <c r="A8" s="2" t="s">
        <v>18</v>
      </c>
      <c r="B8" s="2">
        <f>SUM(B3:B7)</f>
        <v>70.747082999999989</v>
      </c>
      <c r="J8" s="2">
        <f>SUM(J3:J7)</f>
        <v>292.50621603178348</v>
      </c>
      <c r="K8" s="2">
        <f>SUM(K3:K7)</f>
        <v>502.03178214417653</v>
      </c>
      <c r="L8" s="2">
        <f>SUM(L3:L7)</f>
        <v>1035.1011335797075</v>
      </c>
    </row>
    <row r="9" spans="1:12" ht="43.5" x14ac:dyDescent="0.35">
      <c r="A9" s="2" t="s">
        <v>19</v>
      </c>
      <c r="J9" s="2">
        <f>J8/0.71</f>
        <v>411.98058596025845</v>
      </c>
      <c r="K9" s="2">
        <f>K8/0.71</f>
        <v>707.08701710447406</v>
      </c>
      <c r="L9" s="2">
        <f>L8/0.71</f>
        <v>1457.8889205347994</v>
      </c>
    </row>
    <row r="10" spans="1:12" x14ac:dyDescent="0.35">
      <c r="I10" s="2" t="s">
        <v>45</v>
      </c>
      <c r="J10" s="2" t="s">
        <v>57</v>
      </c>
      <c r="K10" s="2">
        <f t="shared" ref="K10:L10" si="3">0.01163*1000000*K9</f>
        <v>8223422.0089250337</v>
      </c>
      <c r="L10" s="2">
        <f t="shared" si="3"/>
        <v>16955248.145819716</v>
      </c>
    </row>
    <row r="11" spans="1:12" x14ac:dyDescent="0.35">
      <c r="I11" s="2" t="s">
        <v>23</v>
      </c>
      <c r="J11" s="2">
        <f>11.63*J9</f>
        <v>4791.3342147178064</v>
      </c>
      <c r="K11" s="2">
        <f>11.63*K9</f>
        <v>8223.4220089250339</v>
      </c>
      <c r="L11" s="2">
        <f>11.63*L9</f>
        <v>16955.248145819718</v>
      </c>
    </row>
  </sheetData>
  <mergeCells count="2">
    <mergeCell ref="G1:I1"/>
    <mergeCell ref="J1:L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4E10A-362B-405B-8332-CCE56789E8F8}">
  <dimension ref="A1:AA28"/>
  <sheetViews>
    <sheetView topLeftCell="F1" workbookViewId="0">
      <selection activeCell="B3" sqref="B3:B28"/>
    </sheetView>
  </sheetViews>
  <sheetFormatPr defaultRowHeight="14.5" x14ac:dyDescent="0.35"/>
  <cols>
    <col min="2" max="15" width="8.7265625" customWidth="1"/>
    <col min="16" max="22" width="0" hidden="1" customWidth="1"/>
    <col min="26" max="26" width="0" hidden="1" customWidth="1"/>
  </cols>
  <sheetData>
    <row r="1" spans="1:27" x14ac:dyDescent="0.35">
      <c r="B1" s="20" t="s">
        <v>12</v>
      </c>
      <c r="C1" s="20"/>
      <c r="D1" s="20"/>
      <c r="E1" s="20"/>
      <c r="F1" s="20"/>
      <c r="G1" s="20"/>
      <c r="H1" s="20"/>
      <c r="I1" s="20" t="s">
        <v>21</v>
      </c>
      <c r="J1" s="20"/>
      <c r="K1" s="20"/>
      <c r="L1" s="20"/>
      <c r="M1" s="20"/>
      <c r="N1" s="20"/>
      <c r="O1" s="20"/>
      <c r="P1" s="20" t="s">
        <v>22</v>
      </c>
      <c r="Q1" s="20"/>
      <c r="R1" s="20"/>
      <c r="S1" s="20"/>
      <c r="T1" s="20"/>
      <c r="U1" s="20"/>
      <c r="V1" s="20"/>
    </row>
    <row r="2" spans="1:27" ht="29" x14ac:dyDescent="0.35">
      <c r="B2" s="2" t="s">
        <v>1</v>
      </c>
      <c r="C2" s="2" t="s">
        <v>2</v>
      </c>
      <c r="D2" s="2" t="s">
        <v>3</v>
      </c>
      <c r="E2" s="2" t="s">
        <v>4</v>
      </c>
      <c r="F2" s="2" t="s">
        <v>0</v>
      </c>
      <c r="G2" s="2" t="s">
        <v>18</v>
      </c>
      <c r="H2" s="2" t="s">
        <v>20</v>
      </c>
      <c r="I2" s="2" t="s">
        <v>1</v>
      </c>
      <c r="J2" s="2" t="s">
        <v>2</v>
      </c>
      <c r="K2" s="2" t="s">
        <v>3</v>
      </c>
      <c r="L2" s="2" t="s">
        <v>4</v>
      </c>
      <c r="M2" s="2" t="s">
        <v>0</v>
      </c>
      <c r="N2" s="2" t="s">
        <v>18</v>
      </c>
      <c r="O2" s="2" t="s">
        <v>20</v>
      </c>
      <c r="P2" s="2" t="s">
        <v>1</v>
      </c>
      <c r="Q2" s="2" t="s">
        <v>2</v>
      </c>
      <c r="R2" s="2" t="s">
        <v>3</v>
      </c>
      <c r="S2" s="2" t="s">
        <v>4</v>
      </c>
      <c r="T2" s="2" t="s">
        <v>0</v>
      </c>
      <c r="U2" s="2" t="s">
        <v>18</v>
      </c>
      <c r="V2" s="2" t="s">
        <v>20</v>
      </c>
    </row>
    <row r="3" spans="1:27" ht="16.5" x14ac:dyDescent="0.45">
      <c r="A3">
        <v>2022</v>
      </c>
      <c r="B3">
        <f>0.000003*((1.045)^($A3-2022))*(1.045^($A3-2022))*12308193</f>
        <v>36.924579000000001</v>
      </c>
      <c r="C3">
        <f>0.0000002111037*((1.0611)^($A3-2016))*(1.045)^($A3-2016)*12308193</f>
        <v>4.829762473068655</v>
      </c>
      <c r="D3" s="4">
        <v>1.0667169999999999</v>
      </c>
      <c r="E3" s="4">
        <v>12.70791</v>
      </c>
      <c r="F3" s="4">
        <v>5.946339</v>
      </c>
      <c r="G3">
        <v>70.747082999999989</v>
      </c>
      <c r="H3">
        <f>G3/0.71</f>
        <v>99.643778873239427</v>
      </c>
      <c r="I3" s="3">
        <f>0.000003*((1.045)^($A3-2016))*(1.09^($A3-2016))*12308193</f>
        <v>80.644041172194648</v>
      </c>
      <c r="J3" s="3">
        <f>0.0000002111037*((1.0611)^($A3-2016))*(1.09)^($A3-2016)*12308193</f>
        <v>6.2199517779657096</v>
      </c>
      <c r="K3" s="4">
        <v>1.0667169999999999</v>
      </c>
      <c r="L3" s="4">
        <v>12.70791</v>
      </c>
      <c r="M3" s="4">
        <v>5.946339</v>
      </c>
      <c r="N3">
        <v>70.747082999999989</v>
      </c>
      <c r="O3">
        <f>N3/0.71</f>
        <v>99.643778873239427</v>
      </c>
      <c r="P3" s="3">
        <v>46.497577999999997</v>
      </c>
      <c r="Q3" s="3">
        <v>4.5285390000000003</v>
      </c>
      <c r="R3" s="4">
        <v>1.0667169999999999</v>
      </c>
      <c r="S3" s="4">
        <v>12.70791</v>
      </c>
      <c r="T3" s="4">
        <v>5.946339</v>
      </c>
      <c r="U3">
        <v>70.747082999999989</v>
      </c>
      <c r="V3">
        <f>U3/0.71</f>
        <v>99.643778873239427</v>
      </c>
      <c r="Y3" t="s">
        <v>58</v>
      </c>
      <c r="AA3" t="s">
        <v>45</v>
      </c>
    </row>
    <row r="4" spans="1:27" ht="16.5" x14ac:dyDescent="0.45">
      <c r="A4">
        <v>2023</v>
      </c>
      <c r="B4">
        <f t="shared" ref="B4:B28" si="0">0.000003*((1.045)^($A4-2022))*(1.045^($A4-2022))*12308193</f>
        <v>40.322563382474996</v>
      </c>
      <c r="C4">
        <f>0.0000002111037*((1.0611)^($A4-2016))*(1.045)^($A4-2016)*12308193</f>
        <v>5.3554797033809418</v>
      </c>
      <c r="D4">
        <f>D$3*((1.0003)^($A4-2022))*(1-0.166)^($A4-2022)</f>
        <v>0.88990887059339985</v>
      </c>
      <c r="E4">
        <f>E$3*((1.0005)^($A4-2022))*((1-0.0201)^($A4-2022))</f>
        <v>12.458707249504499</v>
      </c>
      <c r="F4">
        <f>F$3*((1.0004)^($A4-2022))*((1-0.0397)^($A4-2022))</f>
        <v>5.7125534494366805</v>
      </c>
      <c r="G4">
        <f>SUM(B4:F4)</f>
        <v>64.739212655390517</v>
      </c>
      <c r="H4">
        <f>G4/0.71</f>
        <v>91.181989655479612</v>
      </c>
      <c r="I4" s="3">
        <f t="shared" ref="I4:I28" si="1">0.000003*((1.045)^($A4-2016))*(1.09^($A4-2016))*12308193</f>
        <v>91.857595097188309</v>
      </c>
      <c r="J4" s="3">
        <f t="shared" ref="J4:J28" si="2">0.0000002111037*((1.0611)^($A4-2016))*(1.09)^($A4-2016)*12308193</f>
        <v>7.1939900064433617</v>
      </c>
      <c r="K4">
        <f>K$3*((1.0004)^($A4-2022))*(1-0.166)^($A4-2022)</f>
        <v>0.88999783479119987</v>
      </c>
      <c r="L4">
        <f>L$3*((1.0007)^($A4-2022))*((1-0.0201)^($A4-2022))</f>
        <v>12.461197745706299</v>
      </c>
      <c r="M4">
        <f>M$3*((1.0007)^($A4-2022))*((1-0.0397)^($A4-2022))</f>
        <v>5.7142665302391897</v>
      </c>
      <c r="N4">
        <f>SUM(I4:M4)</f>
        <v>118.11704721436836</v>
      </c>
      <c r="O4">
        <f>N4/0.71</f>
        <v>166.36203833009628</v>
      </c>
      <c r="P4">
        <f>P$3*((1.0927)^($A4-2022))*(1.0188^($A4-2022))</f>
        <v>51.76309206603527</v>
      </c>
      <c r="Q4">
        <f>Q$3*((1.0927)^($A4-2022))*(1.0611)^($A4-2022)</f>
        <v>5.2506778072398301</v>
      </c>
      <c r="R4">
        <f>R$3*((1.0006)^($A4-2022))*(1-0.166)^($A4-2022)</f>
        <v>0.89017576318679992</v>
      </c>
      <c r="S4">
        <f>S$3*((1.0009)^($A4-2022))*((1-0.0201)^($A4-2022))</f>
        <v>12.463688241908098</v>
      </c>
      <c r="T4">
        <f>T$3*((1.0008)^($A4-2022))*((1-0.0397)^($A4-2022))</f>
        <v>5.7148375571733601</v>
      </c>
      <c r="U4">
        <f>SUM(P4:T4)</f>
        <v>76.082471435543354</v>
      </c>
      <c r="V4">
        <f>U4/0.71</f>
        <v>107.15841047259627</v>
      </c>
      <c r="Y4">
        <v>2030</v>
      </c>
      <c r="Z4">
        <v>162.37784548762119</v>
      </c>
      <c r="AA4">
        <f>Z4*0.01163*1000000</f>
        <v>1888454.3430210343</v>
      </c>
    </row>
    <row r="5" spans="1:27" ht="16.5" x14ac:dyDescent="0.45">
      <c r="A5">
        <v>2024</v>
      </c>
      <c r="B5">
        <f t="shared" si="0"/>
        <v>44.033247277747243</v>
      </c>
      <c r="C5">
        <f t="shared" ref="C5:C28" si="3">0.0000002111037*((1.0611)^($A5-2016))*(1.045)^($A5-2016)*12308193</f>
        <v>5.9384209913541035</v>
      </c>
      <c r="D5">
        <f t="shared" ref="D5:D28" si="4">D$3*((1.0003)^($A5-2022))*(1-0.166)^($A5-2022)</f>
        <v>0.74240665327431787</v>
      </c>
      <c r="E5">
        <f t="shared" ref="E5:E28" si="5">E$3*((1.0005)^($A5-2022))*((1-0.0201)^($A5-2022))</f>
        <v>12.214391377406352</v>
      </c>
      <c r="F5">
        <f t="shared" ref="F5:F28" si="6">F$3*((1.0004)^($A5-2022))*((1-0.0397)^($A5-2022))</f>
        <v>5.4879593835250411</v>
      </c>
      <c r="G5">
        <f t="shared" ref="G5:G28" si="7">SUM(B5:F5)</f>
        <v>68.416425683307054</v>
      </c>
      <c r="H5">
        <f t="shared" ref="H5:H28" si="8">G5/0.71</f>
        <v>96.361162934235296</v>
      </c>
      <c r="I5" s="3">
        <f t="shared" si="1"/>
        <v>104.63039369545233</v>
      </c>
      <c r="J5" s="3">
        <f t="shared" si="2"/>
        <v>8.3205616474623856</v>
      </c>
      <c r="K5">
        <f t="shared" ref="K5:K28" si="9">K$3*((1.0004)^($A5-2022))*(1-0.166)^($A5-2022)</f>
        <v>0.74255509749354687</v>
      </c>
      <c r="L5">
        <f t="shared" ref="L5:L28" si="10">L$3*((1.0007)^($A5-2022))*((1-0.0201)^($A5-2022))</f>
        <v>12.219275180387312</v>
      </c>
      <c r="M5">
        <f t="shared" ref="M5:M28" si="11">M$3*((1.0007)^($A5-2022))*((1-0.0397)^($A5-2022))</f>
        <v>5.4912513360929855</v>
      </c>
      <c r="N5">
        <f t="shared" ref="N5:N28" si="12">SUM(I5:M5)</f>
        <v>131.40403695688855</v>
      </c>
      <c r="O5">
        <f t="shared" ref="O5:O28" si="13">N5/0.71</f>
        <v>185.07610838998389</v>
      </c>
      <c r="P5">
        <f t="shared" ref="P5:P28" si="14">P$3*((1.0927)^($A5-2022))*(1.0188^($A5-2022))</f>
        <v>57.624887477727214</v>
      </c>
      <c r="Q5">
        <f t="shared" ref="Q5:Q28" si="15">Q$3*((1.0927)^($A5-2022))*(1.0611)^($A5-2022)</f>
        <v>6.0879717355731886</v>
      </c>
      <c r="R5">
        <f t="shared" ref="R5:R28" si="16">R$3*((1.0006)^($A5-2022))*(1-0.166)^($A5-2022)</f>
        <v>0.74285203044968962</v>
      </c>
      <c r="S5">
        <f t="shared" ref="S5:S28" si="17">S$3*((1.0009)^($A5-2022))*((1-0.0201)^($A5-2022))</f>
        <v>12.224159959543165</v>
      </c>
      <c r="T5">
        <f t="shared" ref="T5:T28" si="18">T$3*((1.0008)^($A5-2022))*((1-0.0397)^($A5-2022))</f>
        <v>5.4923488729585008</v>
      </c>
      <c r="U5">
        <f t="shared" ref="U5:U28" si="19">SUM(P5:T5)</f>
        <v>82.172220076251762</v>
      </c>
      <c r="V5">
        <f t="shared" ref="V5:V28" si="20">U5/0.71</f>
        <v>115.73552123415742</v>
      </c>
      <c r="Y5">
        <v>2035</v>
      </c>
      <c r="Z5">
        <v>234.12966368899001</v>
      </c>
      <c r="AA5">
        <f t="shared" ref="AA5:AA8" si="21">Z5*0.01163*1000000</f>
        <v>2722927.9887029538</v>
      </c>
    </row>
    <row r="6" spans="1:27" ht="16.5" x14ac:dyDescent="0.45">
      <c r="A6">
        <v>2025</v>
      </c>
      <c r="B6">
        <f t="shared" si="0"/>
        <v>48.085406858481939</v>
      </c>
      <c r="C6">
        <f t="shared" si="3"/>
        <v>6.5848151470525025</v>
      </c>
      <c r="D6">
        <f t="shared" si="4"/>
        <v>0.61935289897543022</v>
      </c>
      <c r="E6">
        <f t="shared" si="5"/>
        <v>11.974866551775847</v>
      </c>
      <c r="F6">
        <f t="shared" si="6"/>
        <v>5.2721954309574963</v>
      </c>
      <c r="G6">
        <f t="shared" si="7"/>
        <v>72.536636887243205</v>
      </c>
      <c r="H6">
        <f t="shared" si="8"/>
        <v>102.16427730597636</v>
      </c>
      <c r="I6" s="3">
        <f t="shared" si="1"/>
        <v>119.17924993880499</v>
      </c>
      <c r="J6" s="3">
        <f t="shared" si="2"/>
        <v>9.6235532808933488</v>
      </c>
      <c r="K6">
        <f t="shared" si="9"/>
        <v>0.61953866769014188</v>
      </c>
      <c r="L6">
        <f t="shared" si="10"/>
        <v>11.982049316686009</v>
      </c>
      <c r="M6">
        <f t="shared" si="11"/>
        <v>5.2769399321107278</v>
      </c>
      <c r="N6">
        <f t="shared" si="12"/>
        <v>146.68133113618524</v>
      </c>
      <c r="O6">
        <f t="shared" si="13"/>
        <v>206.59342413547216</v>
      </c>
      <c r="P6">
        <f t="shared" si="14"/>
        <v>64.150488780394483</v>
      </c>
      <c r="Q6">
        <f t="shared" si="15"/>
        <v>7.058783877775479</v>
      </c>
      <c r="R6">
        <f t="shared" si="16"/>
        <v>0.61991031655107809</v>
      </c>
      <c r="S6">
        <f t="shared" si="17"/>
        <v>11.989234953266266</v>
      </c>
      <c r="T6">
        <f t="shared" si="18"/>
        <v>5.2785220648002094</v>
      </c>
      <c r="U6">
        <f t="shared" si="19"/>
        <v>89.096939992787526</v>
      </c>
      <c r="V6">
        <f t="shared" si="20"/>
        <v>125.48864787716553</v>
      </c>
      <c r="Y6">
        <v>2040</v>
      </c>
      <c r="Z6">
        <v>347.45663893006554</v>
      </c>
      <c r="AA6">
        <f t="shared" si="21"/>
        <v>4040920.7107566623</v>
      </c>
    </row>
    <row r="7" spans="1:27" ht="16.5" x14ac:dyDescent="0.45">
      <c r="A7">
        <v>2026</v>
      </c>
      <c r="B7">
        <f t="shared" si="0"/>
        <v>52.510466424633705</v>
      </c>
      <c r="C7">
        <f t="shared" si="3"/>
        <v>7.3015689834015909</v>
      </c>
      <c r="D7">
        <f t="shared" si="4"/>
        <v>0.51669527984083241</v>
      </c>
      <c r="E7">
        <f t="shared" si="5"/>
        <v>11.740038819952193</v>
      </c>
      <c r="F7">
        <f t="shared" si="6"/>
        <v>5.0649144280574232</v>
      </c>
      <c r="G7">
        <f t="shared" si="7"/>
        <v>77.133683935885742</v>
      </c>
      <c r="H7">
        <f t="shared" si="8"/>
        <v>108.63899145899401</v>
      </c>
      <c r="I7" s="3">
        <f t="shared" si="1"/>
        <v>135.75112464279582</v>
      </c>
      <c r="J7" s="3">
        <f t="shared" si="2"/>
        <v>11.130592101127965</v>
      </c>
      <c r="K7">
        <f t="shared" si="9"/>
        <v>0.51690192695311965</v>
      </c>
      <c r="L7">
        <f t="shared" si="10"/>
        <v>11.749428972508415</v>
      </c>
      <c r="M7">
        <f t="shared" si="11"/>
        <v>5.0709926285976969</v>
      </c>
      <c r="N7">
        <f t="shared" si="12"/>
        <v>164.21904027198303</v>
      </c>
      <c r="O7">
        <f t="shared" si="13"/>
        <v>231.29442291828596</v>
      </c>
      <c r="P7">
        <f t="shared" si="14"/>
        <v>71.415067185235387</v>
      </c>
      <c r="Q7">
        <f t="shared" si="15"/>
        <v>8.184405578297552</v>
      </c>
      <c r="R7">
        <f t="shared" si="16"/>
        <v>0.51731540712600133</v>
      </c>
      <c r="S7">
        <f t="shared" si="17"/>
        <v>11.758824756903248</v>
      </c>
      <c r="T7">
        <f t="shared" si="18"/>
        <v>5.0730199106187035</v>
      </c>
      <c r="U7">
        <f t="shared" si="19"/>
        <v>96.948632838180899</v>
      </c>
      <c r="V7">
        <f t="shared" si="20"/>
        <v>136.54737019462098</v>
      </c>
      <c r="Y7">
        <v>2045</v>
      </c>
      <c r="Z7">
        <v>526.2025809466943</v>
      </c>
      <c r="AA7">
        <f t="shared" si="21"/>
        <v>6119736.0164100546</v>
      </c>
    </row>
    <row r="8" spans="1:27" ht="16.5" x14ac:dyDescent="0.45">
      <c r="A8">
        <v>2027</v>
      </c>
      <c r="B8">
        <f t="shared" si="0"/>
        <v>57.342742097360635</v>
      </c>
      <c r="C8">
        <f t="shared" si="3"/>
        <v>8.0963411164603638</v>
      </c>
      <c r="D8">
        <f t="shared" si="4"/>
        <v>0.43105314054627036</v>
      </c>
      <c r="E8">
        <f t="shared" si="5"/>
        <v>11.509816071690988</v>
      </c>
      <c r="F8">
        <f t="shared" si="6"/>
        <v>4.8657828601936481</v>
      </c>
      <c r="G8">
        <f t="shared" si="7"/>
        <v>82.2457352862519</v>
      </c>
      <c r="H8">
        <f t="shared" si="8"/>
        <v>115.83906378345338</v>
      </c>
      <c r="I8" s="3">
        <f t="shared" si="1"/>
        <v>154.62731852437656</v>
      </c>
      <c r="J8" s="3">
        <f t="shared" si="2"/>
        <v>12.873631693572506</v>
      </c>
      <c r="K8">
        <f t="shared" si="9"/>
        <v>0.43126864556173333</v>
      </c>
      <c r="L8">
        <f t="shared" si="10"/>
        <v>11.521324735976107</v>
      </c>
      <c r="M8">
        <f t="shared" si="11"/>
        <v>4.8730829931972384</v>
      </c>
      <c r="N8">
        <f t="shared" si="12"/>
        <v>184.32662659268416</v>
      </c>
      <c r="O8">
        <f t="shared" si="13"/>
        <v>259.61496703194956</v>
      </c>
      <c r="P8">
        <f t="shared" si="14"/>
        <v>79.502306498876862</v>
      </c>
      <c r="Q8">
        <f t="shared" si="15"/>
        <v>9.4895233839030269</v>
      </c>
      <c r="R8">
        <f t="shared" si="16"/>
        <v>0.43169991417281089</v>
      </c>
      <c r="S8">
        <f t="shared" si="17"/>
        <v>11.532842604430851</v>
      </c>
      <c r="T8">
        <f t="shared" si="18"/>
        <v>4.8755183169832748</v>
      </c>
      <c r="U8">
        <f t="shared" si="19"/>
        <v>105.83189071836682</v>
      </c>
      <c r="V8">
        <f t="shared" si="20"/>
        <v>149.05900101178426</v>
      </c>
      <c r="Y8">
        <v>2047</v>
      </c>
      <c r="Z8">
        <v>624.01432080377094</v>
      </c>
      <c r="AA8">
        <f t="shared" si="21"/>
        <v>7257286.5509478562</v>
      </c>
    </row>
    <row r="9" spans="1:27" ht="16.5" x14ac:dyDescent="0.45">
      <c r="A9">
        <v>2028</v>
      </c>
      <c r="B9">
        <f t="shared" si="0"/>
        <v>62.619707938870221</v>
      </c>
      <c r="C9">
        <f t="shared" si="3"/>
        <v>8.9776237988165128</v>
      </c>
      <c r="D9">
        <f t="shared" si="4"/>
        <v>0.35960616871135409</v>
      </c>
      <c r="E9">
        <f t="shared" si="5"/>
        <v>11.284108003034325</v>
      </c>
      <c r="F9">
        <f t="shared" si="6"/>
        <v>4.6744803251562175</v>
      </c>
      <c r="G9">
        <f t="shared" si="7"/>
        <v>87.915526234588611</v>
      </c>
      <c r="H9">
        <f t="shared" si="8"/>
        <v>123.82468483744876</v>
      </c>
      <c r="I9" s="3">
        <f t="shared" si="1"/>
        <v>176.12824716519108</v>
      </c>
      <c r="J9" s="3">
        <f t="shared" si="2"/>
        <v>14.889629543154266</v>
      </c>
      <c r="K9">
        <f t="shared" si="9"/>
        <v>0.3598219216186449</v>
      </c>
      <c r="L9">
        <f t="shared" si="10"/>
        <v>11.297648931059134</v>
      </c>
      <c r="M9">
        <f t="shared" si="11"/>
        <v>4.6828973334861645</v>
      </c>
      <c r="N9">
        <f t="shared" si="12"/>
        <v>207.35824489450928</v>
      </c>
      <c r="O9">
        <f t="shared" si="13"/>
        <v>292.05386604860462</v>
      </c>
      <c r="P9">
        <f t="shared" si="14"/>
        <v>88.505367113175623</v>
      </c>
      <c r="Q9">
        <f t="shared" si="15"/>
        <v>11.002760456108037</v>
      </c>
      <c r="R9">
        <f t="shared" si="16"/>
        <v>0.36025375105717639</v>
      </c>
      <c r="S9">
        <f t="shared" si="17"/>
        <v>11.311203397303066</v>
      </c>
      <c r="T9">
        <f t="shared" si="18"/>
        <v>4.6857058079908791</v>
      </c>
      <c r="U9">
        <f t="shared" si="19"/>
        <v>115.86529052563478</v>
      </c>
      <c r="V9">
        <f t="shared" si="20"/>
        <v>163.19055003610532</v>
      </c>
    </row>
    <row r="10" spans="1:27" ht="16.5" x14ac:dyDescent="0.45">
      <c r="A10">
        <v>2029</v>
      </c>
      <c r="B10">
        <f t="shared" si="0"/>
        <v>68.382286561944753</v>
      </c>
      <c r="C10">
        <f t="shared" si="3"/>
        <v>9.9548336605057912</v>
      </c>
      <c r="D10">
        <f t="shared" si="4"/>
        <v>0.30000151816868087</v>
      </c>
      <c r="E10">
        <f t="shared" si="5"/>
        <v>11.062826080889423</v>
      </c>
      <c r="F10">
        <f t="shared" si="6"/>
        <v>4.490699017630015</v>
      </c>
      <c r="G10">
        <f t="shared" si="7"/>
        <v>94.19064683913868</v>
      </c>
      <c r="H10">
        <f t="shared" si="8"/>
        <v>132.66288287202633</v>
      </c>
      <c r="I10" s="3">
        <f t="shared" si="1"/>
        <v>200.61887993351093</v>
      </c>
      <c r="J10" s="3">
        <f t="shared" si="2"/>
        <v>17.221330639982682</v>
      </c>
      <c r="K10">
        <f t="shared" si="9"/>
        <v>0.30021151922300182</v>
      </c>
      <c r="L10">
        <f t="shared" si="10"/>
        <v>11.078315583876124</v>
      </c>
      <c r="M10">
        <f t="shared" si="11"/>
        <v>4.5001341997633055</v>
      </c>
      <c r="N10">
        <f t="shared" si="12"/>
        <v>233.71887187635605</v>
      </c>
      <c r="O10">
        <f t="shared" si="13"/>
        <v>329.18150968500851</v>
      </c>
      <c r="P10">
        <f t="shared" si="14"/>
        <v>98.527959159884858</v>
      </c>
      <c r="Q10">
        <f t="shared" si="15"/>
        <v>12.757304319398033</v>
      </c>
      <c r="R10">
        <f t="shared" si="16"/>
        <v>0.30063189935871398</v>
      </c>
      <c r="S10">
        <f t="shared" si="17"/>
        <v>11.093823672405385</v>
      </c>
      <c r="T10">
        <f t="shared" si="18"/>
        <v>4.5032830340435712</v>
      </c>
      <c r="U10">
        <f t="shared" si="19"/>
        <v>127.18300208509056</v>
      </c>
      <c r="V10">
        <f t="shared" si="20"/>
        <v>179.13098885224025</v>
      </c>
    </row>
    <row r="11" spans="1:27" ht="16.5" x14ac:dyDescent="0.45">
      <c r="A11">
        <v>2030</v>
      </c>
      <c r="B11">
        <f t="shared" si="0"/>
        <v>74.675166482807668</v>
      </c>
      <c r="C11">
        <f t="shared" si="3"/>
        <v>11.038412327035013</v>
      </c>
      <c r="D11">
        <f t="shared" si="4"/>
        <v>0.25027632653252563</v>
      </c>
      <c r="E11">
        <f t="shared" si="5"/>
        <v>10.845883508301876</v>
      </c>
      <c r="F11">
        <f t="shared" si="6"/>
        <v>4.3141432339367558</v>
      </c>
      <c r="G11">
        <f t="shared" si="7"/>
        <v>101.12388187861386</v>
      </c>
      <c r="H11">
        <f t="shared" si="8"/>
        <v>142.42800264593501</v>
      </c>
      <c r="I11" s="3">
        <f t="shared" si="1"/>
        <v>228.51493518826558</v>
      </c>
      <c r="J11" s="3">
        <f t="shared" si="2"/>
        <v>19.918173796873333</v>
      </c>
      <c r="K11">
        <f t="shared" si="9"/>
        <v>0.25047655759479631</v>
      </c>
      <c r="L11">
        <f t="shared" si="10"/>
        <v>10.863240389648663</v>
      </c>
      <c r="M11">
        <f t="shared" si="11"/>
        <v>4.3245039072431259</v>
      </c>
      <c r="N11">
        <f t="shared" si="12"/>
        <v>263.8713298396255</v>
      </c>
      <c r="O11">
        <f t="shared" si="13"/>
        <v>371.64976033750071</v>
      </c>
      <c r="P11">
        <f t="shared" si="14"/>
        <v>109.6855371923175</v>
      </c>
      <c r="Q11">
        <f t="shared" si="15"/>
        <v>14.791634712667395</v>
      </c>
      <c r="R11">
        <f t="shared" si="16"/>
        <v>0.25087744026760661</v>
      </c>
      <c r="S11">
        <f t="shared" si="17"/>
        <v>10.880621570624967</v>
      </c>
      <c r="T11">
        <f t="shared" si="18"/>
        <v>4.3279622997501157</v>
      </c>
      <c r="U11">
        <f t="shared" si="19"/>
        <v>139.93663321562755</v>
      </c>
      <c r="V11">
        <f t="shared" si="20"/>
        <v>197.09384959947545</v>
      </c>
    </row>
    <row r="12" spans="1:27" ht="16.5" x14ac:dyDescent="0.45">
      <c r="A12">
        <v>2031</v>
      </c>
      <c r="B12">
        <f t="shared" si="0"/>
        <v>81.547148678388041</v>
      </c>
      <c r="C12">
        <f t="shared" si="3"/>
        <v>12.239937989626609</v>
      </c>
      <c r="D12">
        <f t="shared" si="4"/>
        <v>0.20879307546502482</v>
      </c>
      <c r="E12">
        <f t="shared" si="5"/>
        <v>10.6331951904099</v>
      </c>
      <c r="F12">
        <f t="shared" si="6"/>
        <v>4.1445288962484854</v>
      </c>
      <c r="G12">
        <f t="shared" si="7"/>
        <v>108.77360383013806</v>
      </c>
      <c r="H12">
        <f t="shared" si="8"/>
        <v>153.20225891568742</v>
      </c>
      <c r="I12" s="3">
        <f t="shared" si="1"/>
        <v>260.28993692619395</v>
      </c>
      <c r="J12" s="3">
        <f t="shared" si="2"/>
        <v>23.037339895289897</v>
      </c>
      <c r="K12">
        <f t="shared" si="9"/>
        <v>0.2089810080136737</v>
      </c>
      <c r="L12">
        <f t="shared" si="10"/>
        <v>10.652340680297195</v>
      </c>
      <c r="M12">
        <f t="shared" si="11"/>
        <v>4.1557280768970619</v>
      </c>
      <c r="N12">
        <f t="shared" si="12"/>
        <v>298.34432658669175</v>
      </c>
      <c r="O12">
        <f t="shared" si="13"/>
        <v>420.20327688266445</v>
      </c>
      <c r="P12">
        <f t="shared" si="14"/>
        <v>122.10663015605817</v>
      </c>
      <c r="Q12">
        <f t="shared" si="15"/>
        <v>17.150367506739144</v>
      </c>
      <c r="R12">
        <f t="shared" si="16"/>
        <v>0.20935732425429382</v>
      </c>
      <c r="S12">
        <f t="shared" si="17"/>
        <v>10.671516806024757</v>
      </c>
      <c r="T12">
        <f t="shared" si="18"/>
        <v>4.1594671102071956</v>
      </c>
      <c r="U12">
        <f t="shared" si="19"/>
        <v>154.29733890328356</v>
      </c>
      <c r="V12">
        <f t="shared" si="20"/>
        <v>217.32019563842755</v>
      </c>
    </row>
    <row r="13" spans="1:27" ht="16.5" x14ac:dyDescent="0.45">
      <c r="A13">
        <v>2032</v>
      </c>
      <c r="B13">
        <f t="shared" si="0"/>
        <v>89.051525035516661</v>
      </c>
      <c r="C13">
        <f t="shared" si="3"/>
        <v>13.572249119828468</v>
      </c>
      <c r="D13">
        <f t="shared" si="4"/>
        <v>0.17418566496531201</v>
      </c>
      <c r="E13">
        <f t="shared" si="5"/>
        <v>10.424677701066202</v>
      </c>
      <c r="F13">
        <f t="shared" si="6"/>
        <v>3.9815830955070473</v>
      </c>
      <c r="G13">
        <f t="shared" si="7"/>
        <v>117.20422061688369</v>
      </c>
      <c r="H13">
        <f t="shared" si="8"/>
        <v>165.07636706603338</v>
      </c>
      <c r="I13" s="3">
        <f t="shared" si="1"/>
        <v>296.48325265578109</v>
      </c>
      <c r="J13" s="3">
        <f t="shared" si="2"/>
        <v>26.644964285552401</v>
      </c>
      <c r="K13">
        <f t="shared" si="9"/>
        <v>0.17435987674767719</v>
      </c>
      <c r="L13">
        <f t="shared" si="10"/>
        <v>10.445535392666056</v>
      </c>
      <c r="M13">
        <f t="shared" si="11"/>
        <v>3.9935391942148186</v>
      </c>
      <c r="N13">
        <f t="shared" si="12"/>
        <v>337.74165140496206</v>
      </c>
      <c r="O13">
        <f t="shared" si="13"/>
        <v>475.69246676755222</v>
      </c>
      <c r="P13">
        <f t="shared" si="14"/>
        <v>135.93432196922944</v>
      </c>
      <c r="Q13">
        <f t="shared" si="15"/>
        <v>19.885233196322776</v>
      </c>
      <c r="R13">
        <f t="shared" si="16"/>
        <v>0.17470877083313785</v>
      </c>
      <c r="S13">
        <f t="shared" si="17"/>
        <v>10.466430635610058</v>
      </c>
      <c r="T13">
        <f t="shared" si="18"/>
        <v>3.9975317349447161</v>
      </c>
      <c r="U13">
        <f t="shared" si="19"/>
        <v>170.45822630694016</v>
      </c>
      <c r="V13">
        <f t="shared" si="20"/>
        <v>240.08200888301431</v>
      </c>
    </row>
    <row r="14" spans="1:27" ht="16.5" x14ac:dyDescent="0.45">
      <c r="A14">
        <v>2033</v>
      </c>
      <c r="B14">
        <f t="shared" si="0"/>
        <v>97.246491626910085</v>
      </c>
      <c r="C14">
        <f t="shared" si="3"/>
        <v>15.049581650397235</v>
      </c>
      <c r="D14">
        <f t="shared" si="4"/>
        <v>0.14531442583444454</v>
      </c>
      <c r="E14">
        <f t="shared" si="5"/>
        <v>10.22024925011441</v>
      </c>
      <c r="F14">
        <f t="shared" si="6"/>
        <v>3.8250436523140632</v>
      </c>
      <c r="G14">
        <f t="shared" si="7"/>
        <v>126.48668060557023</v>
      </c>
      <c r="H14">
        <f t="shared" si="8"/>
        <v>178.15025437404259</v>
      </c>
      <c r="I14" s="3">
        <f t="shared" si="1"/>
        <v>337.70924893756745</v>
      </c>
      <c r="J14" s="3">
        <f t="shared" si="2"/>
        <v>30.817539047705623</v>
      </c>
      <c r="K14">
        <f t="shared" si="9"/>
        <v>0.14547430366244579</v>
      </c>
      <c r="L14">
        <f t="shared" si="10"/>
        <v>10.24274503736536</v>
      </c>
      <c r="M14">
        <f t="shared" si="11"/>
        <v>3.8376801851862328</v>
      </c>
      <c r="N14">
        <f t="shared" si="12"/>
        <v>382.75268751148712</v>
      </c>
      <c r="O14">
        <f t="shared" si="13"/>
        <v>539.08829226970022</v>
      </c>
      <c r="P14">
        <f t="shared" si="14"/>
        <v>151.32789976775359</v>
      </c>
      <c r="Q14">
        <f t="shared" si="15"/>
        <v>23.056211426184191</v>
      </c>
      <c r="R14">
        <f t="shared" si="16"/>
        <v>0.14579453914376184</v>
      </c>
      <c r="S14">
        <f t="shared" si="17"/>
        <v>10.265285829676147</v>
      </c>
      <c r="T14">
        <f t="shared" si="18"/>
        <v>3.8419007888474641</v>
      </c>
      <c r="U14">
        <f t="shared" si="19"/>
        <v>188.63709235160513</v>
      </c>
      <c r="V14">
        <f t="shared" si="20"/>
        <v>265.68604556564105</v>
      </c>
    </row>
    <row r="15" spans="1:27" ht="16.5" x14ac:dyDescent="0.45">
      <c r="A15">
        <v>2034</v>
      </c>
      <c r="B15">
        <f t="shared" si="0"/>
        <v>106.19560001887643</v>
      </c>
      <c r="C15">
        <f t="shared" si="3"/>
        <v>16.687721088252147</v>
      </c>
      <c r="D15">
        <f t="shared" si="4"/>
        <v>0.12122858881527049</v>
      </c>
      <c r="E15">
        <f t="shared" si="5"/>
        <v>10.019829651307202</v>
      </c>
      <c r="F15">
        <f t="shared" si="6"/>
        <v>3.674658695084922</v>
      </c>
      <c r="G15">
        <f t="shared" si="7"/>
        <v>136.69903804233599</v>
      </c>
      <c r="H15">
        <f t="shared" si="8"/>
        <v>192.53385639765634</v>
      </c>
      <c r="I15" s="3">
        <f t="shared" si="1"/>
        <v>384.66772000233618</v>
      </c>
      <c r="J15" s="3">
        <f t="shared" si="2"/>
        <v>35.64353484503728</v>
      </c>
      <c r="K15">
        <f t="shared" si="9"/>
        <v>0.12137409948218159</v>
      </c>
      <c r="L15">
        <f t="shared" si="10"/>
        <v>10.043891668217794</v>
      </c>
      <c r="M15">
        <f t="shared" si="11"/>
        <v>3.6879040088316244</v>
      </c>
      <c r="N15">
        <f t="shared" si="12"/>
        <v>434.16442462390506</v>
      </c>
      <c r="O15">
        <f t="shared" si="13"/>
        <v>611.49918961113394</v>
      </c>
      <c r="P15">
        <f t="shared" si="14"/>
        <v>168.4646888024574</v>
      </c>
      <c r="Q15">
        <f t="shared" si="15"/>
        <v>26.732846433362891</v>
      </c>
      <c r="R15">
        <f t="shared" si="16"/>
        <v>0.12166560123328495</v>
      </c>
      <c r="S15">
        <f t="shared" si="17"/>
        <v>10.068006642725702</v>
      </c>
      <c r="T15">
        <f t="shared" si="18"/>
        <v>3.6923288293922445</v>
      </c>
      <c r="U15">
        <f t="shared" si="19"/>
        <v>209.07953630917149</v>
      </c>
      <c r="V15">
        <f t="shared" si="20"/>
        <v>294.47822015376266</v>
      </c>
    </row>
    <row r="16" spans="1:27" ht="16.5" x14ac:dyDescent="0.45">
      <c r="A16">
        <v>2035</v>
      </c>
      <c r="B16">
        <f t="shared" si="0"/>
        <v>115.96825011061354</v>
      </c>
      <c r="C16">
        <f t="shared" si="3"/>
        <v>18.504171184847849</v>
      </c>
      <c r="D16">
        <f t="shared" si="4"/>
        <v>0.10113497446485716</v>
      </c>
      <c r="E16">
        <f t="shared" si="5"/>
        <v>9.8233402908535847</v>
      </c>
      <c r="F16">
        <f t="shared" si="6"/>
        <v>3.5301862547880072</v>
      </c>
      <c r="G16">
        <f t="shared" si="7"/>
        <v>147.92708281556787</v>
      </c>
      <c r="H16">
        <f t="shared" si="8"/>
        <v>208.34800396558856</v>
      </c>
      <c r="I16" s="3">
        <f t="shared" si="1"/>
        <v>438.155766468661</v>
      </c>
      <c r="J16" s="3">
        <f t="shared" si="2"/>
        <v>41.225276758235282</v>
      </c>
      <c r="K16">
        <f t="shared" si="9"/>
        <v>0.10126648936772667</v>
      </c>
      <c r="L16">
        <f t="shared" si="10"/>
        <v>9.8488988522985963</v>
      </c>
      <c r="M16">
        <f t="shared" si="11"/>
        <v>3.5439732656347851</v>
      </c>
      <c r="N16">
        <f t="shared" si="12"/>
        <v>492.87518183419741</v>
      </c>
      <c r="O16">
        <f t="shared" si="13"/>
        <v>694.19039694957382</v>
      </c>
      <c r="P16">
        <f t="shared" si="14"/>
        <v>187.54209512498875</v>
      </c>
      <c r="Q16">
        <f t="shared" si="15"/>
        <v>30.995772255027276</v>
      </c>
      <c r="R16">
        <f t="shared" si="16"/>
        <v>0.10152999289541677</v>
      </c>
      <c r="S16">
        <f t="shared" si="17"/>
        <v>9.8745187849452005</v>
      </c>
      <c r="T16">
        <f t="shared" si="18"/>
        <v>3.5485799695652642</v>
      </c>
      <c r="U16">
        <f t="shared" si="19"/>
        <v>232.06249612742189</v>
      </c>
      <c r="V16">
        <f t="shared" si="20"/>
        <v>326.84858609496041</v>
      </c>
    </row>
    <row r="17" spans="1:22" ht="16.5" x14ac:dyDescent="0.45">
      <c r="A17">
        <v>2036</v>
      </c>
      <c r="B17">
        <f t="shared" si="0"/>
        <v>126.64022832704269</v>
      </c>
      <c r="C17">
        <f t="shared" si="3"/>
        <v>20.518340966232937</v>
      </c>
      <c r="D17">
        <f t="shared" si="4"/>
        <v>8.4371872674301976E-2</v>
      </c>
      <c r="E17">
        <f t="shared" si="5"/>
        <v>9.630704096582928</v>
      </c>
      <c r="F17">
        <f t="shared" si="6"/>
        <v>3.391393875617112</v>
      </c>
      <c r="G17">
        <f t="shared" si="7"/>
        <v>160.26503913814997</v>
      </c>
      <c r="H17">
        <f t="shared" si="8"/>
        <v>225.72540723683096</v>
      </c>
      <c r="I17" s="3">
        <f t="shared" si="1"/>
        <v>499.08132579612817</v>
      </c>
      <c r="J17" s="3">
        <f t="shared" si="2"/>
        <v>47.681113873298159</v>
      </c>
      <c r="K17">
        <f t="shared" si="9"/>
        <v>8.4490034633537103E-2</v>
      </c>
      <c r="L17">
        <f t="shared" si="10"/>
        <v>9.6576916405571502</v>
      </c>
      <c r="M17">
        <f t="shared" si="11"/>
        <v>3.4056598212579758</v>
      </c>
      <c r="N17">
        <f t="shared" si="12"/>
        <v>559.91028116587495</v>
      </c>
      <c r="O17">
        <f t="shared" si="13"/>
        <v>788.6060298110915</v>
      </c>
      <c r="P17">
        <f t="shared" si="14"/>
        <v>208.779879593125</v>
      </c>
      <c r="Q17">
        <f t="shared" si="15"/>
        <v>35.938481152029773</v>
      </c>
      <c r="R17">
        <f t="shared" si="16"/>
        <v>8.4726819683222446E-2</v>
      </c>
      <c r="S17">
        <f t="shared" si="17"/>
        <v>9.6847493942294332</v>
      </c>
      <c r="T17">
        <f t="shared" si="18"/>
        <v>3.4104275058493441</v>
      </c>
      <c r="U17">
        <f t="shared" si="19"/>
        <v>257.89826446491679</v>
      </c>
      <c r="V17">
        <f t="shared" si="20"/>
        <v>363.23699220410816</v>
      </c>
    </row>
    <row r="18" spans="1:22" ht="16.5" x14ac:dyDescent="0.45">
      <c r="A18">
        <v>2037</v>
      </c>
      <c r="B18">
        <f t="shared" si="0"/>
        <v>138.29429533883882</v>
      </c>
      <c r="C18">
        <f t="shared" si="3"/>
        <v>22.751752121236912</v>
      </c>
      <c r="D18">
        <f t="shared" si="4"/>
        <v>7.0387251652910945E-2</v>
      </c>
      <c r="E18">
        <f t="shared" si="5"/>
        <v>9.4418455077137367</v>
      </c>
      <c r="F18">
        <f t="shared" si="6"/>
        <v>3.2580582409706147</v>
      </c>
      <c r="G18">
        <f t="shared" si="7"/>
        <v>173.81633846041299</v>
      </c>
      <c r="H18">
        <f t="shared" si="8"/>
        <v>244.81174431044084</v>
      </c>
      <c r="I18" s="3">
        <f t="shared" si="1"/>
        <v>568.47858414808002</v>
      </c>
      <c r="J18" s="3">
        <f t="shared" si="2"/>
        <v>55.147928624742782</v>
      </c>
      <c r="K18">
        <f t="shared" si="9"/>
        <v>7.049287475992369E-2</v>
      </c>
      <c r="L18">
        <f t="shared" si="10"/>
        <v>9.470196539008958</v>
      </c>
      <c r="M18">
        <f t="shared" si="11"/>
        <v>3.2727444449424818</v>
      </c>
      <c r="N18">
        <f t="shared" si="12"/>
        <v>636.43994663153421</v>
      </c>
      <c r="O18">
        <f t="shared" si="13"/>
        <v>896.3942910303299</v>
      </c>
      <c r="P18">
        <f t="shared" si="14"/>
        <v>232.4226893907182</v>
      </c>
      <c r="Q18">
        <f t="shared" si="15"/>
        <v>41.669374032302613</v>
      </c>
      <c r="R18">
        <f t="shared" si="16"/>
        <v>7.0704564916376972E-2</v>
      </c>
      <c r="S18">
        <f t="shared" si="17"/>
        <v>9.4986270087436822</v>
      </c>
      <c r="T18">
        <f t="shared" si="18"/>
        <v>3.2776535606942172</v>
      </c>
      <c r="U18">
        <f t="shared" si="19"/>
        <v>286.93904855737509</v>
      </c>
      <c r="V18">
        <f t="shared" si="20"/>
        <v>404.1395050103875</v>
      </c>
    </row>
    <row r="19" spans="1:22" ht="16.5" x14ac:dyDescent="0.45">
      <c r="A19">
        <v>2038</v>
      </c>
      <c r="B19">
        <f t="shared" si="0"/>
        <v>151.02082786739535</v>
      </c>
      <c r="C19">
        <f t="shared" si="3"/>
        <v>25.228268963757479</v>
      </c>
      <c r="D19">
        <f t="shared" si="4"/>
        <v>5.8720578768891279E-2</v>
      </c>
      <c r="E19">
        <f t="shared" si="5"/>
        <v>9.2566904452151917</v>
      </c>
      <c r="F19">
        <f t="shared" si="6"/>
        <v>3.1299648141356022</v>
      </c>
      <c r="G19">
        <f t="shared" si="7"/>
        <v>188.6944726692725</v>
      </c>
      <c r="H19">
        <f t="shared" si="8"/>
        <v>265.76686291446833</v>
      </c>
      <c r="I19" s="3">
        <f t="shared" si="1"/>
        <v>647.52553127387023</v>
      </c>
      <c r="J19" s="3">
        <f t="shared" si="2"/>
        <v>63.784039099448883</v>
      </c>
      <c r="K19">
        <f t="shared" si="9"/>
        <v>5.8814573972796262E-2</v>
      </c>
      <c r="L19">
        <f t="shared" si="10"/>
        <v>9.2863414804868789</v>
      </c>
      <c r="M19">
        <f t="shared" si="11"/>
        <v>3.1450164620216006</v>
      </c>
      <c r="N19">
        <f t="shared" si="12"/>
        <v>723.79974288980031</v>
      </c>
      <c r="O19">
        <f t="shared" si="13"/>
        <v>1019.4362575912681</v>
      </c>
      <c r="P19">
        <f t="shared" si="14"/>
        <v>258.74287622394581</v>
      </c>
      <c r="Q19">
        <f t="shared" si="15"/>
        <v>48.314137842908515</v>
      </c>
      <c r="R19">
        <f t="shared" si="16"/>
        <v>5.9002987704542563E-2</v>
      </c>
      <c r="S19">
        <f t="shared" si="17"/>
        <v>9.3160815400132151</v>
      </c>
      <c r="T19">
        <f t="shared" si="18"/>
        <v>3.1500487389061247</v>
      </c>
      <c r="U19">
        <f t="shared" si="19"/>
        <v>319.58214733347825</v>
      </c>
      <c r="V19">
        <f t="shared" si="20"/>
        <v>450.11570046968768</v>
      </c>
    </row>
    <row r="20" spans="1:22" ht="16.5" x14ac:dyDescent="0.45">
      <c r="A20">
        <v>2039</v>
      </c>
      <c r="B20">
        <f t="shared" si="0"/>
        <v>164.91851955189242</v>
      </c>
      <c r="C20">
        <f t="shared" si="3"/>
        <v>27.974353426328001</v>
      </c>
      <c r="D20">
        <f t="shared" si="4"/>
        <v>4.8987654582063299E-2</v>
      </c>
      <c r="E20">
        <f t="shared" si="5"/>
        <v>9.0751662827499988</v>
      </c>
      <c r="F20">
        <f t="shared" si="6"/>
        <v>3.0069074930988249</v>
      </c>
      <c r="G20">
        <f t="shared" si="7"/>
        <v>205.02393440865129</v>
      </c>
      <c r="H20">
        <f t="shared" si="8"/>
        <v>288.76610480091733</v>
      </c>
      <c r="I20" s="3">
        <f t="shared" si="1"/>
        <v>737.56395639750201</v>
      </c>
      <c r="J20" s="3">
        <f t="shared" si="2"/>
        <v>73.772555838383468</v>
      </c>
      <c r="K20">
        <f t="shared" si="9"/>
        <v>4.9070975235189405E-2</v>
      </c>
      <c r="L20">
        <f t="shared" si="10"/>
        <v>9.1060557969408009</v>
      </c>
      <c r="M20">
        <f t="shared" si="11"/>
        <v>3.0222734199952783</v>
      </c>
      <c r="N20">
        <f t="shared" si="12"/>
        <v>823.51391242805676</v>
      </c>
      <c r="O20">
        <f t="shared" si="13"/>
        <v>1159.8787498986715</v>
      </c>
      <c r="P20">
        <f t="shared" si="14"/>
        <v>288.04363365788379</v>
      </c>
      <c r="Q20">
        <f t="shared" si="15"/>
        <v>56.018502070465942</v>
      </c>
      <c r="R20">
        <f t="shared" si="16"/>
        <v>4.9238016840635855E-2</v>
      </c>
      <c r="S20">
        <f t="shared" si="17"/>
        <v>9.1370442465299</v>
      </c>
      <c r="T20">
        <f t="shared" si="18"/>
        <v>3.0274117974147288</v>
      </c>
      <c r="U20">
        <f t="shared" si="19"/>
        <v>356.27582978913506</v>
      </c>
      <c r="V20">
        <f t="shared" si="20"/>
        <v>501.79694336497897</v>
      </c>
    </row>
    <row r="21" spans="1:22" ht="16.5" x14ac:dyDescent="0.45">
      <c r="A21">
        <v>2040</v>
      </c>
      <c r="B21">
        <f t="shared" si="0"/>
        <v>180.09514631365525</v>
      </c>
      <c r="C21">
        <f t="shared" si="3"/>
        <v>31.019347809607087</v>
      </c>
      <c r="D21">
        <f t="shared" si="4"/>
        <v>4.0867960632617217E-2</v>
      </c>
      <c r="E21">
        <f t="shared" si="5"/>
        <v>8.8972018181869572</v>
      </c>
      <c r="F21">
        <f t="shared" si="6"/>
        <v>2.8886882789290511</v>
      </c>
      <c r="G21">
        <f t="shared" si="7"/>
        <v>222.94125218101098</v>
      </c>
      <c r="H21">
        <f t="shared" si="8"/>
        <v>314.00176363522672</v>
      </c>
      <c r="I21" s="3">
        <f t="shared" si="1"/>
        <v>840.12222453457446</v>
      </c>
      <c r="J21" s="3">
        <f t="shared" si="2"/>
        <v>85.325264310118499</v>
      </c>
      <c r="K21">
        <f t="shared" si="9"/>
        <v>4.0941563423486427E-2</v>
      </c>
      <c r="L21">
        <f t="shared" si="10"/>
        <v>8.9292701922750872</v>
      </c>
      <c r="M21">
        <f t="shared" si="11"/>
        <v>2.9043207676371208</v>
      </c>
      <c r="N21">
        <f t="shared" si="12"/>
        <v>937.3220213680288</v>
      </c>
      <c r="O21">
        <f t="shared" si="13"/>
        <v>1320.1718610817309</v>
      </c>
      <c r="P21">
        <f t="shared" si="14"/>
        <v>320.66248973373149</v>
      </c>
      <c r="Q21">
        <f t="shared" si="15"/>
        <v>64.95143480407566</v>
      </c>
      <c r="R21">
        <f t="shared" si="16"/>
        <v>4.1089144748717353E-2</v>
      </c>
      <c r="S21">
        <f t="shared" si="17"/>
        <v>8.961447707866105</v>
      </c>
      <c r="T21">
        <f t="shared" si="18"/>
        <v>2.9095493278966105</v>
      </c>
      <c r="U21">
        <f t="shared" si="19"/>
        <v>397.52601071831862</v>
      </c>
      <c r="V21">
        <f t="shared" si="20"/>
        <v>559.89578974411074</v>
      </c>
    </row>
    <row r="22" spans="1:22" ht="16.5" x14ac:dyDescent="0.45">
      <c r="A22">
        <v>2041</v>
      </c>
      <c r="B22">
        <f t="shared" si="0"/>
        <v>196.66840215316932</v>
      </c>
      <c r="C22">
        <f t="shared" si="3"/>
        <v>34.395788309008907</v>
      </c>
      <c r="D22">
        <f t="shared" si="4"/>
        <v>3.4094104331353035E-2</v>
      </c>
      <c r="E22">
        <f t="shared" si="5"/>
        <v>8.7227272456722211</v>
      </c>
      <c r="F22">
        <f t="shared" si="6"/>
        <v>2.7751169571972691</v>
      </c>
      <c r="G22">
        <f t="shared" si="7"/>
        <v>242.59612876937908</v>
      </c>
      <c r="H22">
        <f t="shared" si="8"/>
        <v>341.68468840757617</v>
      </c>
      <c r="I22" s="3">
        <f t="shared" si="1"/>
        <v>956.9412198561073</v>
      </c>
      <c r="J22" s="3">
        <f t="shared" si="2"/>
        <v>98.687115375818749</v>
      </c>
      <c r="K22">
        <f t="shared" si="9"/>
        <v>3.4158922000745738E-2</v>
      </c>
      <c r="L22">
        <f t="shared" si="10"/>
        <v>8.755916715713342</v>
      </c>
      <c r="M22">
        <f t="shared" si="11"/>
        <v>2.7909715466251392</v>
      </c>
      <c r="N22">
        <f t="shared" si="12"/>
        <v>1067.209382416265</v>
      </c>
      <c r="O22">
        <f t="shared" si="13"/>
        <v>1503.1118062200917</v>
      </c>
      <c r="P22">
        <f t="shared" si="14"/>
        <v>356.97519509965082</v>
      </c>
      <c r="Q22">
        <f t="shared" si="15"/>
        <v>75.308848455129734</v>
      </c>
      <c r="R22">
        <f t="shared" si="16"/>
        <v>3.4288907728462527E-2</v>
      </c>
      <c r="S22">
        <f t="shared" si="17"/>
        <v>8.7892257992860401</v>
      </c>
      <c r="T22">
        <f t="shared" si="18"/>
        <v>2.7962754517547781</v>
      </c>
      <c r="U22">
        <f t="shared" si="19"/>
        <v>443.90383371354983</v>
      </c>
      <c r="V22">
        <f t="shared" si="20"/>
        <v>625.21666720218286</v>
      </c>
    </row>
    <row r="23" spans="1:22" ht="16.5" x14ac:dyDescent="0.45">
      <c r="A23">
        <v>2042</v>
      </c>
      <c r="B23">
        <f t="shared" si="0"/>
        <v>214.76681186131466</v>
      </c>
      <c r="C23">
        <f t="shared" si="3"/>
        <v>38.139752668550365</v>
      </c>
      <c r="D23">
        <f t="shared" si="4"/>
        <v>2.8443013357252134E-2</v>
      </c>
      <c r="E23">
        <f t="shared" si="5"/>
        <v>8.5516741282482265</v>
      </c>
      <c r="F23">
        <f t="shared" si="6"/>
        <v>2.6660107919221363</v>
      </c>
      <c r="G23">
        <f t="shared" si="7"/>
        <v>264.15269246339261</v>
      </c>
      <c r="H23">
        <f t="shared" si="8"/>
        <v>372.04604572308818</v>
      </c>
      <c r="I23" s="3">
        <f t="shared" si="1"/>
        <v>1090.0038964770988</v>
      </c>
      <c r="J23" s="3">
        <f t="shared" si="2"/>
        <v>114.14141895655659</v>
      </c>
      <c r="K23">
        <f t="shared" si="9"/>
        <v>2.8499936365001397E-2</v>
      </c>
      <c r="L23">
        <f t="shared" si="10"/>
        <v>8.585928735680314</v>
      </c>
      <c r="M23">
        <f t="shared" si="11"/>
        <v>2.6820460952074789</v>
      </c>
      <c r="N23">
        <f t="shared" si="12"/>
        <v>1215.4417902009081</v>
      </c>
      <c r="O23">
        <f t="shared" si="13"/>
        <v>1711.8898453533918</v>
      </c>
      <c r="P23">
        <f t="shared" si="14"/>
        <v>397.40005144427386</v>
      </c>
      <c r="Q23">
        <f t="shared" si="15"/>
        <v>87.317896405913089</v>
      </c>
      <c r="R23">
        <f t="shared" si="16"/>
        <v>2.861410721496507E-2</v>
      </c>
      <c r="S23">
        <f t="shared" si="17"/>
        <v>8.6203136668450373</v>
      </c>
      <c r="T23">
        <f t="shared" si="18"/>
        <v>2.68741152697317</v>
      </c>
      <c r="U23">
        <f t="shared" si="19"/>
        <v>496.05428715122014</v>
      </c>
      <c r="V23">
        <f t="shared" si="20"/>
        <v>698.6680100721411</v>
      </c>
    </row>
    <row r="24" spans="1:22" ht="16.5" x14ac:dyDescent="0.45">
      <c r="A24">
        <v>2043</v>
      </c>
      <c r="B24">
        <f t="shared" si="0"/>
        <v>234.53072772285219</v>
      </c>
      <c r="C24">
        <f t="shared" si="3"/>
        <v>42.291245676645744</v>
      </c>
      <c r="D24">
        <f t="shared" si="4"/>
        <v>2.372858958189026E-2</v>
      </c>
      <c r="E24">
        <f t="shared" si="5"/>
        <v>8.3839753710095692</v>
      </c>
      <c r="F24">
        <f t="shared" si="6"/>
        <v>2.5611942315482201</v>
      </c>
      <c r="G24">
        <f t="shared" si="7"/>
        <v>287.7908715916376</v>
      </c>
      <c r="H24">
        <f t="shared" si="8"/>
        <v>405.33925576286987</v>
      </c>
      <c r="I24" s="3">
        <f t="shared" si="1"/>
        <v>1241.5689382822393</v>
      </c>
      <c r="J24" s="3">
        <f t="shared" si="2"/>
        <v>132.0158510237344</v>
      </c>
      <c r="K24">
        <f t="shared" si="9"/>
        <v>2.3778454507182523E-2</v>
      </c>
      <c r="L24">
        <f t="shared" si="10"/>
        <v>8.4192409141908033</v>
      </c>
      <c r="M24">
        <f t="shared" si="11"/>
        <v>2.5773717634334012</v>
      </c>
      <c r="N24">
        <f t="shared" si="12"/>
        <v>1384.605180438105</v>
      </c>
      <c r="O24">
        <f t="shared" si="13"/>
        <v>1950.1481414621198</v>
      </c>
      <c r="P24">
        <f t="shared" si="14"/>
        <v>442.40273009396537</v>
      </c>
      <c r="Q24">
        <f t="shared" si="15"/>
        <v>101.24195481884874</v>
      </c>
      <c r="R24">
        <f t="shared" si="16"/>
        <v>2.3878483916531235E-2</v>
      </c>
      <c r="S24">
        <f t="shared" si="17"/>
        <v>8.4546477029673781</v>
      </c>
      <c r="T24">
        <f t="shared" si="18"/>
        <v>2.5827858663838166</v>
      </c>
      <c r="U24">
        <f t="shared" si="19"/>
        <v>554.70599696608178</v>
      </c>
      <c r="V24">
        <f t="shared" si="20"/>
        <v>781.27605206490398</v>
      </c>
    </row>
    <row r="25" spans="1:22" ht="16.5" x14ac:dyDescent="0.45">
      <c r="A25">
        <v>2044</v>
      </c>
      <c r="B25">
        <f t="shared" si="0"/>
        <v>256.11341794154748</v>
      </c>
      <c r="C25">
        <f t="shared" si="3"/>
        <v>46.894626622925777</v>
      </c>
      <c r="D25">
        <f t="shared" si="4"/>
        <v>1.9795580604409866E-2</v>
      </c>
      <c r="E25">
        <f t="shared" si="5"/>
        <v>8.2195651947853037</v>
      </c>
      <c r="F25">
        <f t="shared" si="6"/>
        <v>2.4604986264839779</v>
      </c>
      <c r="G25">
        <f t="shared" si="7"/>
        <v>313.70790396634698</v>
      </c>
      <c r="H25">
        <f t="shared" si="8"/>
        <v>441.84211826246053</v>
      </c>
      <c r="I25" s="3">
        <f t="shared" si="1"/>
        <v>1414.2090991503842</v>
      </c>
      <c r="J25" s="3">
        <f t="shared" si="2"/>
        <v>152.68940127820017</v>
      </c>
      <c r="K25">
        <f t="shared" si="9"/>
        <v>1.9839163551413817E-2</v>
      </c>
      <c r="L25">
        <f t="shared" si="10"/>
        <v>8.2557891817358371</v>
      </c>
      <c r="M25">
        <f t="shared" si="11"/>
        <v>2.4767826394981922</v>
      </c>
      <c r="N25">
        <f t="shared" si="12"/>
        <v>1577.6509114133698</v>
      </c>
      <c r="O25">
        <f t="shared" si="13"/>
        <v>2222.0435372019297</v>
      </c>
      <c r="P25">
        <f t="shared" si="14"/>
        <v>492.50163628134112</v>
      </c>
      <c r="Q25">
        <f t="shared" si="15"/>
        <v>117.38639886482298</v>
      </c>
      <c r="R25">
        <f t="shared" si="16"/>
        <v>1.9926604379738883E-2</v>
      </c>
      <c r="S25">
        <f t="shared" si="17"/>
        <v>8.2921655224934572</v>
      </c>
      <c r="T25">
        <f t="shared" si="18"/>
        <v>2.4822334669023705</v>
      </c>
      <c r="U25">
        <f t="shared" si="19"/>
        <v>620.68236073993967</v>
      </c>
      <c r="V25">
        <f t="shared" si="20"/>
        <v>874.20050808442215</v>
      </c>
    </row>
    <row r="26" spans="1:22" ht="16.5" x14ac:dyDescent="0.45">
      <c r="A26">
        <v>2045</v>
      </c>
      <c r="B26">
        <f t="shared" si="0"/>
        <v>279.68225522761838</v>
      </c>
      <c r="C26">
        <f t="shared" si="3"/>
        <v>51.99908328351794</v>
      </c>
      <c r="D26">
        <f t="shared" si="4"/>
        <v>1.6514467078345051E-2</v>
      </c>
      <c r="E26">
        <f t="shared" si="5"/>
        <v>8.0583791103373059</v>
      </c>
      <c r="F26">
        <f t="shared" si="6"/>
        <v>2.3637619577449689</v>
      </c>
      <c r="G26">
        <f t="shared" si="7"/>
        <v>342.11999404629694</v>
      </c>
      <c r="H26">
        <f t="shared" si="8"/>
        <v>481.8591465440802</v>
      </c>
      <c r="I26" s="3">
        <f t="shared" si="1"/>
        <v>1610.8548743872454</v>
      </c>
      <c r="J26" s="3">
        <f t="shared" si="2"/>
        <v>176.60040882896507</v>
      </c>
      <c r="K26">
        <f t="shared" si="9"/>
        <v>1.6552480746839876E-2</v>
      </c>
      <c r="L26">
        <f t="shared" si="10"/>
        <v>8.0955107126563757</v>
      </c>
      <c r="M26">
        <f t="shared" si="11"/>
        <v>2.3801192867682111</v>
      </c>
      <c r="N26">
        <f t="shared" si="12"/>
        <v>1797.9474656963819</v>
      </c>
      <c r="O26">
        <f t="shared" si="13"/>
        <v>2532.3203742202563</v>
      </c>
      <c r="P26">
        <f t="shared" si="14"/>
        <v>548.27388087835629</v>
      </c>
      <c r="Q26">
        <f t="shared" si="15"/>
        <v>136.10530005181116</v>
      </c>
      <c r="R26">
        <f t="shared" si="16"/>
        <v>1.6628759325533839E-2</v>
      </c>
      <c r="S26">
        <f t="shared" si="17"/>
        <v>8.1328059391872802</v>
      </c>
      <c r="T26">
        <f t="shared" si="18"/>
        <v>2.3855957493049584</v>
      </c>
      <c r="U26">
        <f t="shared" si="19"/>
        <v>694.91421137798511</v>
      </c>
      <c r="V26">
        <f t="shared" si="20"/>
        <v>978.75241039152843</v>
      </c>
    </row>
    <row r="27" spans="1:22" ht="16.5" x14ac:dyDescent="0.45">
      <c r="A27">
        <v>2046</v>
      </c>
      <c r="B27">
        <f t="shared" si="0"/>
        <v>305.42001476493982</v>
      </c>
      <c r="C27">
        <f t="shared" si="3"/>
        <v>57.659157499387199</v>
      </c>
      <c r="D27">
        <f t="shared" si="4"/>
        <v>1.3777197463002773E-2</v>
      </c>
      <c r="E27">
        <f t="shared" si="5"/>
        <v>7.9003538930646346</v>
      </c>
      <c r="F27">
        <f t="shared" si="6"/>
        <v>2.270828576265703</v>
      </c>
      <c r="G27">
        <f t="shared" si="7"/>
        <v>373.2641319311204</v>
      </c>
      <c r="H27">
        <f t="shared" si="8"/>
        <v>525.72412948045132</v>
      </c>
      <c r="I27" s="3">
        <f t="shared" si="1"/>
        <v>1834.8442446707918</v>
      </c>
      <c r="J27" s="3">
        <f t="shared" si="2"/>
        <v>204.25585625117219</v>
      </c>
      <c r="K27">
        <f t="shared" si="9"/>
        <v>1.3810290850441602E-2</v>
      </c>
      <c r="L27">
        <f t="shared" si="10"/>
        <v>7.9383439009951147</v>
      </c>
      <c r="M27">
        <f t="shared" si="11"/>
        <v>2.2872284910692717</v>
      </c>
      <c r="N27">
        <f t="shared" si="12"/>
        <v>2049.3394836048788</v>
      </c>
      <c r="O27">
        <f t="shared" si="13"/>
        <v>2886.3936388801112</v>
      </c>
      <c r="P27">
        <f t="shared" si="14"/>
        <v>610.36192838493253</v>
      </c>
      <c r="Q27">
        <f t="shared" si="15"/>
        <v>157.80919153611418</v>
      </c>
      <c r="R27">
        <f t="shared" si="16"/>
        <v>1.3876706308661724E-2</v>
      </c>
      <c r="S27">
        <f t="shared" si="17"/>
        <v>7.9765089426954434</v>
      </c>
      <c r="T27">
        <f t="shared" si="18"/>
        <v>2.2927203081359981</v>
      </c>
      <c r="U27">
        <f t="shared" si="19"/>
        <v>778.45422587818689</v>
      </c>
      <c r="V27">
        <f t="shared" si="20"/>
        <v>1096.4144026453337</v>
      </c>
    </row>
    <row r="28" spans="1:22" ht="16.5" x14ac:dyDescent="0.45">
      <c r="A28">
        <v>2047</v>
      </c>
      <c r="B28">
        <f t="shared" si="0"/>
        <v>333.52629162368339</v>
      </c>
      <c r="C28">
        <f t="shared" si="3"/>
        <v>63.935327963616757</v>
      </c>
      <c r="D28">
        <f t="shared" si="4"/>
        <v>1.1493629738949554E-2</v>
      </c>
      <c r="E28">
        <f t="shared" si="5"/>
        <v>7.745427558203942</v>
      </c>
      <c r="F28">
        <f t="shared" si="6"/>
        <v>2.1815489524606697</v>
      </c>
      <c r="G28">
        <f t="shared" si="7"/>
        <v>407.40008972770369</v>
      </c>
      <c r="H28">
        <f t="shared" si="8"/>
        <v>573.80294327845593</v>
      </c>
      <c r="I28" s="3">
        <f t="shared" si="1"/>
        <v>2089.9793368922656</v>
      </c>
      <c r="J28" s="3">
        <f t="shared" si="2"/>
        <v>236.24211908424945</v>
      </c>
      <c r="K28">
        <f t="shared" si="9"/>
        <v>1.1522389682296E-2</v>
      </c>
      <c r="L28">
        <f t="shared" si="10"/>
        <v>7.7842283368171232</v>
      </c>
      <c r="M28">
        <f t="shared" si="11"/>
        <v>2.1979630178378038</v>
      </c>
      <c r="N28">
        <f t="shared" si="12"/>
        <v>2336.2151697208528</v>
      </c>
      <c r="O28">
        <f t="shared" si="13"/>
        <v>3290.443901015286</v>
      </c>
      <c r="P28">
        <f t="shared" si="14"/>
        <v>679.4809977541646</v>
      </c>
      <c r="Q28">
        <f t="shared" si="15"/>
        <v>182.97407172095336</v>
      </c>
      <c r="R28">
        <f t="shared" si="16"/>
        <v>1.1580116965260727E-2</v>
      </c>
      <c r="S28">
        <f t="shared" si="17"/>
        <v>7.8232156759489175</v>
      </c>
      <c r="T28">
        <f t="shared" si="18"/>
        <v>2.2034606713525218</v>
      </c>
      <c r="U28">
        <f t="shared" si="19"/>
        <v>872.4933259393847</v>
      </c>
      <c r="V28">
        <f t="shared" si="20"/>
        <v>1228.863839351246</v>
      </c>
    </row>
  </sheetData>
  <mergeCells count="3">
    <mergeCell ref="B1:H1"/>
    <mergeCell ref="I1:O1"/>
    <mergeCell ref="P1:V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D16A0-293D-47AD-88B2-5127D54676F9}">
  <dimension ref="A1:M11"/>
  <sheetViews>
    <sheetView workbookViewId="0">
      <selection sqref="A1:XFD1048576"/>
    </sheetView>
  </sheetViews>
  <sheetFormatPr defaultRowHeight="13" x14ac:dyDescent="0.3"/>
  <cols>
    <col min="1" max="1" width="11.90625" style="21" customWidth="1"/>
    <col min="2" max="2" width="18.26953125" style="21" customWidth="1"/>
    <col min="3" max="6" width="18.6328125" style="21" customWidth="1"/>
    <col min="7" max="7" width="14.81640625" style="21" customWidth="1"/>
    <col min="8" max="8" width="13.81640625" style="21" customWidth="1"/>
    <col min="9" max="9" width="10.36328125" style="21" bestFit="1" customWidth="1"/>
    <col min="10" max="16384" width="8.7265625" style="21"/>
  </cols>
  <sheetData>
    <row r="1" spans="1:13" ht="26.5" x14ac:dyDescent="0.35">
      <c r="G1" s="22" t="s">
        <v>59</v>
      </c>
      <c r="H1" s="21" t="s">
        <v>60</v>
      </c>
      <c r="M1" s="23"/>
    </row>
    <row r="2" spans="1:13" ht="26" x14ac:dyDescent="0.3">
      <c r="A2" s="11" t="s">
        <v>61</v>
      </c>
      <c r="B2" s="11" t="s">
        <v>62</v>
      </c>
      <c r="C2" s="24" t="s">
        <v>63</v>
      </c>
      <c r="D2" s="24"/>
      <c r="E2" s="24"/>
      <c r="F2" s="25" t="s">
        <v>61</v>
      </c>
      <c r="G2" s="25" t="s">
        <v>64</v>
      </c>
      <c r="H2" s="24" t="s">
        <v>65</v>
      </c>
    </row>
    <row r="3" spans="1:13" x14ac:dyDescent="0.3">
      <c r="A3" s="12" t="s">
        <v>66</v>
      </c>
      <c r="B3" s="12">
        <v>138.172677460432</v>
      </c>
      <c r="C3" s="26">
        <v>1259.2278080000001</v>
      </c>
      <c r="D3" s="26"/>
      <c r="E3" s="26"/>
      <c r="F3" s="26" t="s">
        <v>66</v>
      </c>
      <c r="G3" s="1">
        <v>922.59677799999997</v>
      </c>
      <c r="H3" s="27">
        <v>967.14232100000004</v>
      </c>
    </row>
    <row r="4" spans="1:13" x14ac:dyDescent="0.3">
      <c r="A4" s="12" t="s">
        <v>67</v>
      </c>
      <c r="B4" s="12">
        <v>38.090632779044498</v>
      </c>
      <c r="C4" s="26">
        <v>103.33281599999999</v>
      </c>
      <c r="D4" s="26"/>
      <c r="E4" s="26"/>
      <c r="F4" s="26" t="s">
        <v>67</v>
      </c>
      <c r="G4" s="1">
        <v>253.312567</v>
      </c>
      <c r="H4" s="21">
        <v>80.459226000000001</v>
      </c>
    </row>
    <row r="5" spans="1:13" x14ac:dyDescent="0.3">
      <c r="A5" s="12" t="s">
        <v>3</v>
      </c>
      <c r="B5" s="12">
        <v>5.6305413488716802E-2</v>
      </c>
      <c r="C5" s="26">
        <v>3.7614000000000002E-2</v>
      </c>
      <c r="D5" s="26"/>
      <c r="E5" s="26"/>
      <c r="F5" s="26" t="s">
        <v>0</v>
      </c>
      <c r="G5" s="1">
        <v>0.16531899999999999</v>
      </c>
      <c r="H5" s="21">
        <v>9.9689630000000005</v>
      </c>
    </row>
    <row r="6" spans="1:13" x14ac:dyDescent="0.3">
      <c r="A6" s="12" t="s">
        <v>4</v>
      </c>
      <c r="B6" s="12">
        <v>12.1291681133154</v>
      </c>
      <c r="C6" s="26">
        <v>45.574834000000003</v>
      </c>
      <c r="D6" s="26"/>
      <c r="E6" s="26"/>
      <c r="F6" s="26" t="s">
        <v>3</v>
      </c>
      <c r="G6" s="1">
        <v>99.962261999999996</v>
      </c>
      <c r="H6" s="21">
        <v>4.9154999999999997E-2</v>
      </c>
    </row>
    <row r="7" spans="1:13" x14ac:dyDescent="0.3">
      <c r="A7" s="12" t="s">
        <v>0</v>
      </c>
      <c r="B7" s="12">
        <v>10.024670735808099</v>
      </c>
      <c r="C7" s="26">
        <v>10.427087999999999</v>
      </c>
      <c r="D7" s="26"/>
      <c r="E7" s="26"/>
      <c r="F7" s="26" t="s">
        <v>4</v>
      </c>
      <c r="G7" s="1">
        <v>21.994555999999999</v>
      </c>
      <c r="H7" s="21">
        <v>41.148406000000001</v>
      </c>
    </row>
    <row r="8" spans="1:13" x14ac:dyDescent="0.3">
      <c r="A8" s="12" t="s">
        <v>17</v>
      </c>
      <c r="B8" s="21">
        <f>SUM(B3:B7)</f>
        <v>198.47345450208869</v>
      </c>
      <c r="C8" s="26">
        <v>1418.60016</v>
      </c>
      <c r="D8" s="26"/>
      <c r="E8" s="26"/>
      <c r="F8" s="26" t="s">
        <v>17</v>
      </c>
      <c r="G8" s="21">
        <f>SUM(G3:G7)</f>
        <v>1298.0314820000001</v>
      </c>
      <c r="H8" s="21">
        <f>SUM(H3:H7)</f>
        <v>1098.768071</v>
      </c>
    </row>
    <row r="11" spans="1:13" x14ac:dyDescent="0.3">
      <c r="A11" s="2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4EC40-77C3-4333-B443-C991D4A80419}">
  <dimension ref="A1:I8"/>
  <sheetViews>
    <sheetView workbookViewId="0">
      <selection sqref="A1:I8"/>
    </sheetView>
  </sheetViews>
  <sheetFormatPr defaultRowHeight="14.5" x14ac:dyDescent="0.35"/>
  <sheetData>
    <row r="1" spans="1:9" x14ac:dyDescent="0.35">
      <c r="B1" s="20" t="s">
        <v>64</v>
      </c>
      <c r="C1" s="20"/>
      <c r="D1" s="20"/>
      <c r="E1" s="20"/>
      <c r="F1" s="20" t="s">
        <v>65</v>
      </c>
      <c r="G1" s="20"/>
      <c r="H1" s="20"/>
      <c r="I1" s="20"/>
    </row>
    <row r="2" spans="1:9" x14ac:dyDescent="0.35">
      <c r="A2" s="28" t="s">
        <v>61</v>
      </c>
      <c r="B2" s="28" t="s">
        <v>68</v>
      </c>
      <c r="C2" s="28" t="s">
        <v>69</v>
      </c>
      <c r="D2" s="28" t="s">
        <v>70</v>
      </c>
      <c r="E2" s="28" t="s">
        <v>71</v>
      </c>
      <c r="F2" s="28" t="s">
        <v>68</v>
      </c>
      <c r="G2" s="28" t="s">
        <v>69</v>
      </c>
      <c r="H2" s="28" t="s">
        <v>70</v>
      </c>
      <c r="I2" s="28" t="s">
        <v>71</v>
      </c>
    </row>
    <row r="3" spans="1:9" x14ac:dyDescent="0.35">
      <c r="A3" s="18" t="s">
        <v>66</v>
      </c>
      <c r="B3" s="29">
        <v>6.673</v>
      </c>
      <c r="C3" s="18">
        <v>3.1280000000000001</v>
      </c>
      <c r="D3" s="18">
        <v>15.352</v>
      </c>
      <c r="E3" s="18">
        <v>3.9182000000000001</v>
      </c>
      <c r="F3" s="18">
        <v>25.284144000000001</v>
      </c>
      <c r="G3" s="18">
        <v>11.283721</v>
      </c>
      <c r="H3" s="18">
        <v>262.90878400000003</v>
      </c>
      <c r="I3" s="18">
        <v>16.214462000000001</v>
      </c>
    </row>
    <row r="4" spans="1:9" x14ac:dyDescent="0.35">
      <c r="A4" s="18" t="s">
        <v>67</v>
      </c>
      <c r="B4" s="29">
        <v>6.8360000000000003</v>
      </c>
      <c r="C4" s="18">
        <v>0.3579</v>
      </c>
      <c r="D4" s="18">
        <v>0.21729999999999999</v>
      </c>
      <c r="E4" s="18">
        <v>0.46610000000000001</v>
      </c>
      <c r="F4" s="18">
        <v>12.09135</v>
      </c>
      <c r="G4" s="18">
        <v>0.50735399999999997</v>
      </c>
      <c r="H4" s="18">
        <v>0.37986999999999999</v>
      </c>
      <c r="I4" s="18">
        <v>0.61633599999999999</v>
      </c>
    </row>
    <row r="5" spans="1:9" x14ac:dyDescent="0.35">
      <c r="A5" s="18" t="s">
        <v>3</v>
      </c>
      <c r="B5" s="18">
        <v>12.2087</v>
      </c>
      <c r="C5" s="18">
        <v>0.21510000000000001</v>
      </c>
      <c r="D5" s="18">
        <v>6.1699999999999998E-2</v>
      </c>
      <c r="E5" s="18">
        <v>0.24840000000000001</v>
      </c>
      <c r="F5" s="29">
        <v>8.4520389999999992</v>
      </c>
      <c r="G5" s="18">
        <v>0.15451599999999999</v>
      </c>
      <c r="H5" s="18">
        <v>4.0444000000000001E-2</v>
      </c>
      <c r="I5" s="18">
        <v>0.20110600000000001</v>
      </c>
    </row>
    <row r="6" spans="1:9" x14ac:dyDescent="0.35">
      <c r="A6" s="18" t="s">
        <v>4</v>
      </c>
      <c r="B6" s="18">
        <v>23.1999</v>
      </c>
      <c r="C6" s="18">
        <v>2.7538999999999998</v>
      </c>
      <c r="D6" s="18">
        <v>11.142899999999999</v>
      </c>
      <c r="E6" s="18">
        <v>3.3380999999999998</v>
      </c>
      <c r="F6" s="29">
        <v>12.726618999999999</v>
      </c>
      <c r="G6" s="18">
        <v>1.697192</v>
      </c>
      <c r="H6" s="18">
        <v>4.9172010000000004</v>
      </c>
      <c r="I6" s="18">
        <v>2.217476</v>
      </c>
    </row>
    <row r="7" spans="1:9" x14ac:dyDescent="0.35">
      <c r="A7" s="18" t="s">
        <v>0</v>
      </c>
      <c r="B7" s="18">
        <v>15.2302</v>
      </c>
      <c r="C7" s="18">
        <v>0.73129999999999995</v>
      </c>
      <c r="D7" s="18">
        <v>0.77710000000000001</v>
      </c>
      <c r="E7" s="18">
        <v>0.88160000000000005</v>
      </c>
      <c r="F7" s="29">
        <v>6.918704</v>
      </c>
      <c r="G7" s="18">
        <v>0.437274</v>
      </c>
      <c r="H7" s="18">
        <v>0.39357599999999998</v>
      </c>
      <c r="I7" s="18">
        <v>0.62735600000000002</v>
      </c>
    </row>
    <row r="8" spans="1:9" x14ac:dyDescent="0.35">
      <c r="A8" s="18" t="s">
        <v>72</v>
      </c>
      <c r="B8" s="29">
        <v>8.5718999999999994</v>
      </c>
      <c r="C8" s="18">
        <v>6.0400999999999998</v>
      </c>
      <c r="D8" s="18">
        <v>55.115499999999997</v>
      </c>
      <c r="E8" s="18">
        <v>7.4240000000000004</v>
      </c>
      <c r="F8" s="18">
        <v>18.159447</v>
      </c>
      <c r="G8" s="18">
        <v>12.732132999999999</v>
      </c>
      <c r="H8" s="18">
        <v>337.95189199999999</v>
      </c>
      <c r="I8" s="18">
        <v>18.383468000000001</v>
      </c>
    </row>
  </sheetData>
  <mergeCells count="2">
    <mergeCell ref="B1:E1"/>
    <mergeCell ref="F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32BA-C1D5-4630-83A5-13F79F59F842}">
  <dimension ref="A1:M10"/>
  <sheetViews>
    <sheetView tabSelected="1" workbookViewId="0">
      <selection activeCell="F10" sqref="F10"/>
    </sheetView>
  </sheetViews>
  <sheetFormatPr defaultRowHeight="14.5" x14ac:dyDescent="0.35"/>
  <cols>
    <col min="8" max="8" width="15.1796875" customWidth="1"/>
    <col min="9" max="9" width="11.81640625" customWidth="1"/>
    <col min="11" max="11" width="11.81640625" customWidth="1"/>
  </cols>
  <sheetData>
    <row r="1" spans="1:13" ht="21" x14ac:dyDescent="0.35">
      <c r="A1" s="8" t="s">
        <v>73</v>
      </c>
      <c r="B1" s="30" t="s">
        <v>74</v>
      </c>
      <c r="C1" s="30" t="s">
        <v>75</v>
      </c>
      <c r="D1" s="30" t="s">
        <v>76</v>
      </c>
      <c r="E1" s="30" t="s">
        <v>77</v>
      </c>
      <c r="F1" s="30" t="s">
        <v>78</v>
      </c>
      <c r="G1" s="31" t="s">
        <v>79</v>
      </c>
      <c r="H1" s="31" t="s">
        <v>80</v>
      </c>
      <c r="I1" s="31" t="s">
        <v>81</v>
      </c>
      <c r="J1" s="31" t="s">
        <v>82</v>
      </c>
      <c r="K1" s="31" t="s">
        <v>83</v>
      </c>
      <c r="L1" s="31" t="s">
        <v>84</v>
      </c>
      <c r="M1" s="31" t="s">
        <v>85</v>
      </c>
    </row>
    <row r="2" spans="1:13" x14ac:dyDescent="0.35">
      <c r="A2" s="1" t="s">
        <v>86</v>
      </c>
      <c r="B2" s="1">
        <v>34.997833</v>
      </c>
      <c r="C2" s="1">
        <v>2.5983049999999999</v>
      </c>
      <c r="D2" s="1">
        <v>2.297787</v>
      </c>
      <c r="E2" s="1">
        <v>12.863375</v>
      </c>
      <c r="F2" s="1">
        <v>5.1889450000000004</v>
      </c>
      <c r="G2">
        <f>SUM(B2:F2)</f>
        <v>57.94624499999999</v>
      </c>
      <c r="H2">
        <f>G2*41868*1000000</f>
        <v>2426093385659.9995</v>
      </c>
      <c r="I2">
        <f>H2*$F$10</f>
        <v>3153921401357.9995</v>
      </c>
      <c r="J2">
        <v>2294796885663.1631</v>
      </c>
      <c r="K2">
        <f>0.27*J2</f>
        <v>619595159129.05408</v>
      </c>
      <c r="L2">
        <v>2016</v>
      </c>
      <c r="M2">
        <f t="shared" ref="M2:M8" si="0">I2/K2</f>
        <v>5.0902938069938601</v>
      </c>
    </row>
    <row r="3" spans="1:13" x14ac:dyDescent="0.35">
      <c r="A3" s="1" t="s">
        <v>87</v>
      </c>
      <c r="B3" s="1">
        <v>39.794396999999996</v>
      </c>
      <c r="C3" s="1">
        <v>2.575453</v>
      </c>
      <c r="D3" s="1">
        <v>2.219598</v>
      </c>
      <c r="E3" s="1">
        <v>12.784663999999999</v>
      </c>
      <c r="F3" s="1">
        <v>5.9013679999999997</v>
      </c>
      <c r="G3">
        <f t="shared" ref="G3:G8" si="1">SUM(B3:F3)</f>
        <v>63.275479999999995</v>
      </c>
      <c r="H3">
        <f t="shared" ref="H3:H8" si="2">G3*41868*1000000</f>
        <v>2649217796640</v>
      </c>
      <c r="I3">
        <f t="shared" ref="I3:I8" si="3">H3*$F$10</f>
        <v>3443983135632</v>
      </c>
      <c r="J3">
        <v>2651474262755.4521</v>
      </c>
      <c r="K3">
        <f t="shared" ref="K3:K8" si="4">0.27*J3</f>
        <v>715898050943.97217</v>
      </c>
      <c r="L3">
        <v>2017</v>
      </c>
      <c r="M3">
        <f t="shared" si="0"/>
        <v>4.8107172956970849</v>
      </c>
    </row>
    <row r="4" spans="1:13" x14ac:dyDescent="0.35">
      <c r="A4" s="1" t="s">
        <v>88</v>
      </c>
      <c r="B4" s="1">
        <v>45.817174999999999</v>
      </c>
      <c r="C4" s="1">
        <v>4.1841460000000001</v>
      </c>
      <c r="D4" s="1">
        <v>2.0730909999999998</v>
      </c>
      <c r="E4" s="1">
        <v>13.242986999999999</v>
      </c>
      <c r="F4" s="1">
        <v>6.6048830000000001</v>
      </c>
      <c r="G4">
        <f t="shared" si="1"/>
        <v>71.922281999999996</v>
      </c>
      <c r="H4">
        <f t="shared" si="2"/>
        <v>3011242102776</v>
      </c>
      <c r="I4">
        <f t="shared" si="3"/>
        <v>3914614733608.8003</v>
      </c>
      <c r="J4">
        <v>2702929641648.7407</v>
      </c>
      <c r="K4">
        <f t="shared" si="4"/>
        <v>729791003245.16003</v>
      </c>
      <c r="L4">
        <v>2018</v>
      </c>
      <c r="M4">
        <f t="shared" si="0"/>
        <v>5.3640216393483771</v>
      </c>
    </row>
    <row r="5" spans="1:13" x14ac:dyDescent="0.35">
      <c r="A5" s="1" t="s">
        <v>89</v>
      </c>
      <c r="B5" s="1">
        <v>44.908723000000002</v>
      </c>
      <c r="C5" s="1">
        <v>4.2131150000000002</v>
      </c>
      <c r="D5" s="1">
        <v>1.8910260000000001</v>
      </c>
      <c r="E5" s="1">
        <v>13.766484</v>
      </c>
      <c r="F5" s="1">
        <v>6.5345769999999996</v>
      </c>
      <c r="G5">
        <f t="shared" si="1"/>
        <v>71.313925000000012</v>
      </c>
      <c r="H5">
        <f t="shared" si="2"/>
        <v>2985771411900.0005</v>
      </c>
      <c r="I5">
        <f t="shared" si="3"/>
        <v>3881502835470.001</v>
      </c>
      <c r="J5">
        <v>2835606256558.1948</v>
      </c>
      <c r="K5">
        <f t="shared" si="4"/>
        <v>765613689270.71265</v>
      </c>
      <c r="L5">
        <v>2019</v>
      </c>
      <c r="M5">
        <f t="shared" si="0"/>
        <v>5.069792886236578</v>
      </c>
    </row>
    <row r="6" spans="1:13" x14ac:dyDescent="0.35">
      <c r="A6" s="1" t="s">
        <v>90</v>
      </c>
      <c r="B6" s="1">
        <v>41.578009000000002</v>
      </c>
      <c r="C6" s="1">
        <v>5.0937489999999999</v>
      </c>
      <c r="D6" s="1">
        <v>1.4386410000000001</v>
      </c>
      <c r="E6" s="1">
        <v>13.914161999999999</v>
      </c>
      <c r="F6" s="1">
        <v>5.4891690000000004</v>
      </c>
      <c r="G6">
        <f t="shared" si="1"/>
        <v>67.513729999999995</v>
      </c>
      <c r="H6">
        <f t="shared" si="2"/>
        <v>2826664847640</v>
      </c>
      <c r="I6">
        <f t="shared" si="3"/>
        <v>3674664301932</v>
      </c>
      <c r="J6">
        <v>2674851578587.2686</v>
      </c>
      <c r="K6">
        <f t="shared" si="4"/>
        <v>722209926218.5625</v>
      </c>
      <c r="L6">
        <v>2020</v>
      </c>
      <c r="M6">
        <f t="shared" si="0"/>
        <v>5.0880833515710169</v>
      </c>
    </row>
    <row r="7" spans="1:13" x14ac:dyDescent="0.35">
      <c r="A7" s="1" t="s">
        <v>91</v>
      </c>
      <c r="B7" s="1">
        <v>44.688993000000004</v>
      </c>
      <c r="C7" s="1">
        <v>4.9769410000000001</v>
      </c>
      <c r="D7" s="1">
        <v>1.251018</v>
      </c>
      <c r="E7" s="1">
        <v>14.345643000000001</v>
      </c>
      <c r="F7" s="1">
        <v>5.6970460000000003</v>
      </c>
      <c r="G7">
        <f t="shared" si="1"/>
        <v>70.959641000000005</v>
      </c>
      <c r="H7">
        <f t="shared" si="2"/>
        <v>2970938249388</v>
      </c>
      <c r="I7">
        <f t="shared" si="3"/>
        <v>3862219724204.3999</v>
      </c>
      <c r="J7">
        <v>3167270623260.4688</v>
      </c>
      <c r="K7">
        <f t="shared" si="4"/>
        <v>855163068280.32666</v>
      </c>
      <c r="L7">
        <v>2021</v>
      </c>
      <c r="M7">
        <f t="shared" si="0"/>
        <v>4.5163546783785398</v>
      </c>
    </row>
    <row r="8" spans="1:13" x14ac:dyDescent="0.35">
      <c r="A8" s="1" t="s">
        <v>92</v>
      </c>
      <c r="B8" s="1">
        <v>46.497577999999997</v>
      </c>
      <c r="C8" s="1">
        <v>4.5285390000000003</v>
      </c>
      <c r="D8" s="1">
        <v>1.0667169999999999</v>
      </c>
      <c r="E8" s="1">
        <v>12.70791</v>
      </c>
      <c r="F8" s="1">
        <v>5.946339</v>
      </c>
      <c r="G8">
        <f t="shared" si="1"/>
        <v>70.747082999999989</v>
      </c>
      <c r="H8">
        <f t="shared" si="2"/>
        <v>2962038871043.9995</v>
      </c>
      <c r="I8">
        <f t="shared" si="3"/>
        <v>3850650532357.1997</v>
      </c>
      <c r="J8">
        <v>3346107287730.9272</v>
      </c>
      <c r="K8">
        <f t="shared" si="4"/>
        <v>903448967687.35046</v>
      </c>
      <c r="L8">
        <v>2022</v>
      </c>
      <c r="M8">
        <f t="shared" si="0"/>
        <v>4.2621671727780024</v>
      </c>
    </row>
    <row r="10" spans="1:13" x14ac:dyDescent="0.35">
      <c r="E10" t="s">
        <v>93</v>
      </c>
      <c r="F10" s="18">
        <v>1.3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52070-C6AE-4649-B822-91DF57E84FEC}">
  <dimension ref="A2:H16"/>
  <sheetViews>
    <sheetView zoomScale="82" workbookViewId="0">
      <selection activeCell="C3" sqref="C3:G3"/>
    </sheetView>
  </sheetViews>
  <sheetFormatPr defaultRowHeight="13" x14ac:dyDescent="0.3"/>
  <cols>
    <col min="1" max="1" width="8.7265625" style="9"/>
    <col min="2" max="2" width="17" style="9" customWidth="1"/>
    <col min="3" max="4" width="8.7265625" style="9" customWidth="1"/>
    <col min="5" max="5" width="8.7265625" style="9"/>
    <col min="6" max="7" width="8.7265625" style="9" customWidth="1"/>
    <col min="8" max="16384" width="8.7265625" style="9"/>
  </cols>
  <sheetData>
    <row r="2" spans="1:8" ht="32" x14ac:dyDescent="0.3">
      <c r="B2" s="9" t="s">
        <v>34</v>
      </c>
      <c r="C2" s="10" t="s">
        <v>52</v>
      </c>
      <c r="D2" s="10" t="s">
        <v>36</v>
      </c>
      <c r="E2" s="10" t="s">
        <v>37</v>
      </c>
      <c r="F2" s="10" t="s">
        <v>38</v>
      </c>
      <c r="G2" s="10" t="s">
        <v>39</v>
      </c>
      <c r="H2" s="10" t="s">
        <v>40</v>
      </c>
    </row>
    <row r="3" spans="1:8" ht="26" x14ac:dyDescent="0.3">
      <c r="A3" s="11" t="s">
        <v>24</v>
      </c>
      <c r="B3" s="11" t="s">
        <v>47</v>
      </c>
      <c r="C3" s="11" t="s">
        <v>52</v>
      </c>
      <c r="D3" s="11" t="s">
        <v>53</v>
      </c>
      <c r="E3" s="11" t="s">
        <v>54</v>
      </c>
      <c r="F3" s="11" t="s">
        <v>56</v>
      </c>
      <c r="G3" s="11" t="s">
        <v>55</v>
      </c>
      <c r="H3" s="11" t="s">
        <v>49</v>
      </c>
    </row>
    <row r="4" spans="1:8" x14ac:dyDescent="0.3">
      <c r="A4" s="12" t="s">
        <v>25</v>
      </c>
      <c r="B4" s="9">
        <v>479.13340000000005</v>
      </c>
      <c r="C4" s="9">
        <v>822.34219999999993</v>
      </c>
      <c r="D4" s="9">
        <v>822.34219999999993</v>
      </c>
      <c r="E4" s="9">
        <v>822.34219999999993</v>
      </c>
      <c r="F4" s="9">
        <v>904.57640000000004</v>
      </c>
      <c r="G4" s="9">
        <v>904.57640000000004</v>
      </c>
      <c r="H4" s="9">
        <v>1695.5250000000001</v>
      </c>
    </row>
    <row r="5" spans="1:8" x14ac:dyDescent="0.3">
      <c r="A5" s="12" t="s">
        <v>26</v>
      </c>
      <c r="B5" s="9">
        <v>47.913339999999998</v>
      </c>
      <c r="C5" s="9">
        <v>82.234220000000008</v>
      </c>
      <c r="D5" s="9">
        <v>82.234220000000008</v>
      </c>
      <c r="E5" s="9">
        <v>82.234220000000008</v>
      </c>
      <c r="F5" s="9">
        <v>82.234220000000008</v>
      </c>
      <c r="G5" s="9">
        <v>82.234220000000008</v>
      </c>
      <c r="H5" s="9">
        <v>169.55250000000001</v>
      </c>
    </row>
    <row r="6" spans="1:8" ht="26" x14ac:dyDescent="0.3">
      <c r="A6" s="12" t="s">
        <v>27</v>
      </c>
      <c r="B6" s="9">
        <v>47.913339999999998</v>
      </c>
      <c r="C6" s="9">
        <v>82.234220000000008</v>
      </c>
      <c r="D6" s="9">
        <v>82.234220000000008</v>
      </c>
      <c r="E6" s="9">
        <v>82.234220000000008</v>
      </c>
      <c r="F6" s="9">
        <v>82.234220000000008</v>
      </c>
      <c r="G6" s="9">
        <v>82.234220000000008</v>
      </c>
      <c r="H6" s="9">
        <v>169.55250000000001</v>
      </c>
    </row>
    <row r="7" spans="1:8" x14ac:dyDescent="0.3">
      <c r="A7" s="12" t="s">
        <v>28</v>
      </c>
      <c r="B7" s="9">
        <v>383.30670000000003</v>
      </c>
      <c r="C7" s="9">
        <v>575.6395</v>
      </c>
      <c r="D7" s="9">
        <v>657.87380000000007</v>
      </c>
      <c r="E7" s="9">
        <v>657.87380000000007</v>
      </c>
      <c r="F7" s="9">
        <v>575.6395</v>
      </c>
      <c r="G7" s="9">
        <v>575.6395</v>
      </c>
      <c r="H7" s="9">
        <v>1356.42</v>
      </c>
    </row>
    <row r="8" spans="1:8" x14ac:dyDescent="0.3">
      <c r="A8" s="12" t="s">
        <v>29</v>
      </c>
      <c r="B8" s="9">
        <v>383.30670000000003</v>
      </c>
      <c r="C8" s="9">
        <v>657.87380000000007</v>
      </c>
      <c r="D8" s="9">
        <v>657.87380000000007</v>
      </c>
      <c r="E8" s="9">
        <v>657.87380000000007</v>
      </c>
      <c r="F8" s="9">
        <v>657.87380000000007</v>
      </c>
      <c r="G8" s="9">
        <v>657.87380000000007</v>
      </c>
      <c r="H8" s="9">
        <v>1356.42</v>
      </c>
    </row>
    <row r="9" spans="1:8" x14ac:dyDescent="0.3">
      <c r="A9" s="12" t="s">
        <v>30</v>
      </c>
      <c r="B9" s="9">
        <v>1916.5340000000001</v>
      </c>
      <c r="C9" s="9">
        <v>2960.4319999999998</v>
      </c>
      <c r="D9" s="9">
        <v>3289.3690000000001</v>
      </c>
      <c r="E9" s="9">
        <v>3289.3690000000001</v>
      </c>
      <c r="F9" s="9">
        <v>3289.3690000000001</v>
      </c>
      <c r="G9" s="9">
        <v>3289.3690000000001</v>
      </c>
      <c r="H9" s="9">
        <v>6782.0990000000002</v>
      </c>
    </row>
    <row r="10" spans="1:8" x14ac:dyDescent="0.3">
      <c r="A10" s="12" t="s">
        <v>31</v>
      </c>
      <c r="B10" s="9">
        <v>1197.8340000000001</v>
      </c>
      <c r="C10" s="9">
        <v>2055.8560000000002</v>
      </c>
      <c r="D10" s="9">
        <v>2055.8560000000002</v>
      </c>
      <c r="E10" s="9">
        <v>2055.8560000000002</v>
      </c>
      <c r="F10" s="9">
        <v>2055.8560000000002</v>
      </c>
      <c r="G10" s="9">
        <v>2055.8560000000002</v>
      </c>
      <c r="H10" s="9">
        <v>4238.8119999999999</v>
      </c>
    </row>
    <row r="11" spans="1:8" x14ac:dyDescent="0.3">
      <c r="A11" s="12" t="s">
        <v>32</v>
      </c>
      <c r="B11" s="9">
        <v>95.826679999999996</v>
      </c>
      <c r="C11" s="9">
        <v>164.4684</v>
      </c>
      <c r="D11" s="9">
        <v>164.4684</v>
      </c>
      <c r="E11" s="9">
        <v>164.4684</v>
      </c>
      <c r="F11" s="9">
        <v>164.4684</v>
      </c>
      <c r="G11" s="9">
        <v>164.4684</v>
      </c>
      <c r="H11" s="9">
        <v>339.10500000000002</v>
      </c>
    </row>
    <row r="12" spans="1:8" x14ac:dyDescent="0.3">
      <c r="A12" s="12" t="s">
        <v>33</v>
      </c>
      <c r="B12" s="9">
        <v>239.56670000000003</v>
      </c>
      <c r="C12" s="9">
        <v>822.34219999999993</v>
      </c>
      <c r="D12" s="9">
        <v>411.17109999999997</v>
      </c>
      <c r="E12" s="9">
        <v>411.17109999999997</v>
      </c>
      <c r="F12" s="9">
        <v>411.17109999999997</v>
      </c>
      <c r="G12" s="9">
        <v>411.17109999999997</v>
      </c>
      <c r="H12" s="9">
        <v>847.76240000000007</v>
      </c>
    </row>
    <row r="13" spans="1:8" x14ac:dyDescent="0.3">
      <c r="A13" s="9" t="s">
        <v>17</v>
      </c>
      <c r="B13" s="9">
        <f>SUM(B4:B12)</f>
        <v>4791.3348600000008</v>
      </c>
      <c r="C13" s="9">
        <f t="shared" ref="C13:H13" si="0">SUM(C4:C12)</f>
        <v>8223.4225399999996</v>
      </c>
      <c r="D13" s="9">
        <f t="shared" si="0"/>
        <v>8223.42274</v>
      </c>
      <c r="E13" s="9">
        <f t="shared" si="0"/>
        <v>8223.42274</v>
      </c>
      <c r="F13" s="9">
        <f t="shared" si="0"/>
        <v>8223.4226399999989</v>
      </c>
      <c r="G13" s="9">
        <f t="shared" si="0"/>
        <v>8223.4226399999989</v>
      </c>
      <c r="H13" s="9">
        <f t="shared" si="0"/>
        <v>16955.2484</v>
      </c>
    </row>
    <row r="16" spans="1:8" x14ac:dyDescent="0.3">
      <c r="C16" s="9">
        <v>1000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7E42C-9551-4BB7-BB4D-517233937A6E}">
  <dimension ref="A1:S12"/>
  <sheetViews>
    <sheetView zoomScale="72" workbookViewId="0">
      <selection activeCell="C3" sqref="C3:G11"/>
    </sheetView>
  </sheetViews>
  <sheetFormatPr defaultRowHeight="14.5" x14ac:dyDescent="0.35"/>
  <cols>
    <col min="1" max="1" width="8.7265625" customWidth="1"/>
    <col min="2" max="2" width="14.453125" customWidth="1"/>
    <col min="3" max="10" width="8.7265625" customWidth="1"/>
    <col min="11" max="11" width="12.54296875" customWidth="1"/>
    <col min="12" max="12" width="14.6328125" customWidth="1"/>
    <col min="13" max="13" width="15" customWidth="1"/>
    <col min="14" max="14" width="16.08984375" customWidth="1"/>
    <col min="15" max="17" width="8.7265625" customWidth="1"/>
  </cols>
  <sheetData>
    <row r="1" spans="1:19" ht="32" x14ac:dyDescent="0.35">
      <c r="A1" s="9"/>
      <c r="B1" s="9" t="s">
        <v>34</v>
      </c>
      <c r="C1" s="10" t="s">
        <v>35</v>
      </c>
      <c r="D1" s="10" t="s">
        <v>36</v>
      </c>
      <c r="E1" s="10" t="s">
        <v>37</v>
      </c>
      <c r="F1" s="10" t="s">
        <v>38</v>
      </c>
      <c r="G1" s="10" t="s">
        <v>39</v>
      </c>
      <c r="H1" s="10" t="s">
        <v>40</v>
      </c>
      <c r="L1" s="10" t="s">
        <v>35</v>
      </c>
      <c r="M1" s="10" t="s">
        <v>36</v>
      </c>
      <c r="N1" s="10" t="s">
        <v>37</v>
      </c>
      <c r="O1" s="10" t="s">
        <v>38</v>
      </c>
      <c r="P1" s="10" t="s">
        <v>39</v>
      </c>
    </row>
    <row r="2" spans="1:19" ht="39" x14ac:dyDescent="0.35">
      <c r="A2" s="11" t="s">
        <v>24</v>
      </c>
      <c r="B2" s="11" t="s">
        <v>47</v>
      </c>
      <c r="C2" s="11" t="s">
        <v>46</v>
      </c>
      <c r="D2" s="11" t="s">
        <v>46</v>
      </c>
      <c r="E2" s="11" t="s">
        <v>48</v>
      </c>
      <c r="F2" s="11" t="s">
        <v>46</v>
      </c>
      <c r="G2" s="11" t="s">
        <v>46</v>
      </c>
      <c r="H2" s="11" t="s">
        <v>49</v>
      </c>
      <c r="J2" s="13" t="s">
        <v>41</v>
      </c>
      <c r="K2" s="11" t="s">
        <v>50</v>
      </c>
      <c r="L2" s="11" t="s">
        <v>52</v>
      </c>
      <c r="M2" s="11" t="s">
        <v>53</v>
      </c>
      <c r="N2" s="11" t="s">
        <v>42</v>
      </c>
      <c r="O2" s="11" t="s">
        <v>43</v>
      </c>
      <c r="P2" s="11" t="s">
        <v>44</v>
      </c>
      <c r="Q2" s="11" t="s">
        <v>51</v>
      </c>
    </row>
    <row r="3" spans="1:19" x14ac:dyDescent="0.35">
      <c r="A3" s="12" t="s">
        <v>25</v>
      </c>
      <c r="B3" s="9">
        <v>479.13340000000005</v>
      </c>
      <c r="C3" s="9">
        <v>822.34219999999993</v>
      </c>
      <c r="D3" s="9">
        <v>822.34219999999993</v>
      </c>
      <c r="E3" s="9">
        <v>822.34219999999993</v>
      </c>
      <c r="F3" s="9">
        <v>904.57640000000004</v>
      </c>
      <c r="G3" s="9">
        <v>904.57640000000004</v>
      </c>
      <c r="H3" s="9">
        <v>1695.5250000000001</v>
      </c>
      <c r="J3" s="14">
        <v>0.7</v>
      </c>
      <c r="K3" s="16">
        <f>B3*1000/($J3*365*24)</f>
        <v>78.136562296151354</v>
      </c>
      <c r="L3" s="16">
        <f t="shared" ref="L3:Q9" si="0">C3*1000/($J3*365*24)</f>
        <v>134.1066862361383</v>
      </c>
      <c r="M3" s="16">
        <f t="shared" si="0"/>
        <v>134.1066862361383</v>
      </c>
      <c r="N3" s="16">
        <f t="shared" si="0"/>
        <v>134.1066862361383</v>
      </c>
      <c r="O3" s="16">
        <f t="shared" si="0"/>
        <v>147.51735159817355</v>
      </c>
      <c r="P3" s="16">
        <f t="shared" si="0"/>
        <v>147.51735159817355</v>
      </c>
      <c r="Q3" s="16">
        <f t="shared" si="0"/>
        <v>276.50440313111551</v>
      </c>
      <c r="R3" s="16"/>
      <c r="S3" s="16"/>
    </row>
    <row r="4" spans="1:19" x14ac:dyDescent="0.35">
      <c r="A4" s="12" t="s">
        <v>26</v>
      </c>
      <c r="B4" s="9">
        <v>47.913339999999998</v>
      </c>
      <c r="C4" s="9">
        <v>82.234220000000008</v>
      </c>
      <c r="D4" s="9">
        <v>82.234220000000008</v>
      </c>
      <c r="E4" s="9">
        <v>82.234220000000008</v>
      </c>
      <c r="F4" s="9">
        <v>82.234220000000008</v>
      </c>
      <c r="G4" s="9">
        <v>82.234220000000008</v>
      </c>
      <c r="H4" s="9">
        <v>169.55250000000001</v>
      </c>
      <c r="J4" s="15">
        <v>0.15</v>
      </c>
      <c r="K4" s="16">
        <f t="shared" ref="K4:K11" si="1">B4*1000/($J4*365*24)</f>
        <v>36.463729071537287</v>
      </c>
      <c r="L4" s="16">
        <f t="shared" si="0"/>
        <v>62.583120243531205</v>
      </c>
      <c r="M4" s="16">
        <f t="shared" si="0"/>
        <v>62.583120243531205</v>
      </c>
      <c r="N4" s="16">
        <f t="shared" si="0"/>
        <v>62.583120243531205</v>
      </c>
      <c r="O4" s="16">
        <f t="shared" si="0"/>
        <v>62.583120243531205</v>
      </c>
      <c r="P4" s="16">
        <f t="shared" si="0"/>
        <v>62.583120243531205</v>
      </c>
      <c r="Q4" s="16">
        <f t="shared" si="0"/>
        <v>129.03538812785388</v>
      </c>
    </row>
    <row r="5" spans="1:19" ht="26" x14ac:dyDescent="0.35">
      <c r="A5" s="12" t="s">
        <v>27</v>
      </c>
      <c r="B5" s="9">
        <v>47.913339999999998</v>
      </c>
      <c r="C5" s="9">
        <v>82.234220000000008</v>
      </c>
      <c r="D5" s="9">
        <v>82.234220000000008</v>
      </c>
      <c r="E5" s="9">
        <v>82.234220000000008</v>
      </c>
      <c r="F5" s="9">
        <v>82.234220000000008</v>
      </c>
      <c r="G5" s="9">
        <v>82.234220000000008</v>
      </c>
      <c r="H5" s="9">
        <v>169.55250000000001</v>
      </c>
      <c r="J5" s="14">
        <v>0.4</v>
      </c>
      <c r="K5" s="16">
        <f t="shared" si="1"/>
        <v>13.673898401826483</v>
      </c>
      <c r="L5" s="16">
        <f t="shared" si="0"/>
        <v>23.468670091324203</v>
      </c>
      <c r="M5" s="16">
        <f t="shared" si="0"/>
        <v>23.468670091324203</v>
      </c>
      <c r="N5" s="16">
        <f t="shared" si="0"/>
        <v>23.468670091324203</v>
      </c>
      <c r="O5" s="16">
        <f t="shared" si="0"/>
        <v>23.468670091324203</v>
      </c>
      <c r="P5" s="16">
        <f t="shared" si="0"/>
        <v>23.468670091324203</v>
      </c>
      <c r="Q5" s="16">
        <f t="shared" si="0"/>
        <v>48.388270547945204</v>
      </c>
    </row>
    <row r="6" spans="1:19" x14ac:dyDescent="0.35">
      <c r="A6" s="12" t="s">
        <v>28</v>
      </c>
      <c r="B6" s="9">
        <v>383.30670000000003</v>
      </c>
      <c r="C6" s="9">
        <v>575.6395</v>
      </c>
      <c r="D6" s="9">
        <v>657.87380000000007</v>
      </c>
      <c r="E6" s="9">
        <v>657.87380000000007</v>
      </c>
      <c r="F6" s="9">
        <v>575.6395</v>
      </c>
      <c r="G6" s="9">
        <v>575.6395</v>
      </c>
      <c r="H6" s="9">
        <v>1356.42</v>
      </c>
      <c r="J6" s="15">
        <v>0.4</v>
      </c>
      <c r="K6" s="16">
        <f t="shared" si="1"/>
        <v>109.39118150684932</v>
      </c>
      <c r="L6" s="16">
        <f t="shared" si="0"/>
        <v>164.2806792237443</v>
      </c>
      <c r="M6" s="16">
        <f t="shared" si="0"/>
        <v>187.74937214611873</v>
      </c>
      <c r="N6" s="16">
        <f t="shared" si="0"/>
        <v>187.74937214611873</v>
      </c>
      <c r="O6" s="16">
        <f t="shared" si="0"/>
        <v>164.2806792237443</v>
      </c>
      <c r="P6" s="16">
        <f t="shared" si="0"/>
        <v>164.2806792237443</v>
      </c>
      <c r="Q6" s="16">
        <f t="shared" si="0"/>
        <v>387.10616438356163</v>
      </c>
    </row>
    <row r="7" spans="1:19" x14ac:dyDescent="0.35">
      <c r="A7" s="12" t="s">
        <v>29</v>
      </c>
      <c r="B7" s="9">
        <v>383.30670000000003</v>
      </c>
      <c r="C7" s="9">
        <v>657.87380000000007</v>
      </c>
      <c r="D7" s="9">
        <v>657.87380000000007</v>
      </c>
      <c r="E7" s="9">
        <v>657.87380000000007</v>
      </c>
      <c r="F7" s="9">
        <v>657.87380000000007</v>
      </c>
      <c r="G7" s="9">
        <v>657.87380000000007</v>
      </c>
      <c r="H7" s="9">
        <v>1356.42</v>
      </c>
      <c r="J7" s="14">
        <v>0.85</v>
      </c>
      <c r="K7" s="16">
        <f t="shared" si="1"/>
        <v>51.478203062046738</v>
      </c>
      <c r="L7" s="16">
        <f t="shared" si="0"/>
        <v>88.352645715820586</v>
      </c>
      <c r="M7" s="16">
        <f t="shared" si="0"/>
        <v>88.352645715820586</v>
      </c>
      <c r="N7" s="16">
        <f t="shared" si="0"/>
        <v>88.352645715820586</v>
      </c>
      <c r="O7" s="16">
        <f t="shared" si="0"/>
        <v>88.352645715820586</v>
      </c>
      <c r="P7" s="16">
        <f t="shared" si="0"/>
        <v>88.352645715820586</v>
      </c>
      <c r="Q7" s="16">
        <f t="shared" si="0"/>
        <v>182.16760676873488</v>
      </c>
    </row>
    <row r="8" spans="1:19" x14ac:dyDescent="0.35">
      <c r="A8" s="12" t="s">
        <v>30</v>
      </c>
      <c r="B8" s="9">
        <v>1916.5340000000001</v>
      </c>
      <c r="C8" s="9">
        <v>2960.4319999999998</v>
      </c>
      <c r="D8" s="9">
        <v>3289.3690000000001</v>
      </c>
      <c r="E8" s="9">
        <v>3289.3690000000001</v>
      </c>
      <c r="F8" s="9">
        <v>3289.3690000000001</v>
      </c>
      <c r="G8" s="9">
        <v>3289.3690000000001</v>
      </c>
      <c r="H8" s="9">
        <v>6782.0990000000002</v>
      </c>
      <c r="J8" s="15">
        <v>0.2</v>
      </c>
      <c r="K8" s="16">
        <f t="shared" si="1"/>
        <v>1093.9121004566209</v>
      </c>
      <c r="L8" s="16">
        <f t="shared" si="0"/>
        <v>1689.744292237443</v>
      </c>
      <c r="M8" s="16">
        <f t="shared" si="0"/>
        <v>1877.4937214611873</v>
      </c>
      <c r="N8" s="16">
        <f t="shared" si="0"/>
        <v>1877.4937214611873</v>
      </c>
      <c r="O8" s="16">
        <f t="shared" si="0"/>
        <v>1877.4937214611873</v>
      </c>
      <c r="P8" s="16">
        <f t="shared" si="0"/>
        <v>1877.4937214611873</v>
      </c>
      <c r="Q8" s="16">
        <f t="shared" si="0"/>
        <v>3871.0610730593608</v>
      </c>
    </row>
    <row r="9" spans="1:19" x14ac:dyDescent="0.35">
      <c r="A9" s="12" t="s">
        <v>31</v>
      </c>
      <c r="B9" s="9">
        <v>1197.8340000000001</v>
      </c>
      <c r="C9" s="9">
        <v>2055.8560000000002</v>
      </c>
      <c r="D9" s="9">
        <v>2055.8560000000002</v>
      </c>
      <c r="E9" s="9">
        <v>2055.8560000000002</v>
      </c>
      <c r="F9" s="9">
        <v>2055.8560000000002</v>
      </c>
      <c r="G9" s="9">
        <v>2055.8560000000002</v>
      </c>
      <c r="H9" s="9">
        <v>4238.8119999999999</v>
      </c>
      <c r="J9" s="15">
        <v>0.3</v>
      </c>
      <c r="K9" s="16">
        <f t="shared" si="1"/>
        <v>455.79680365296804</v>
      </c>
      <c r="L9" s="16">
        <f t="shared" si="0"/>
        <v>782.28919330289204</v>
      </c>
      <c r="M9" s="16">
        <f t="shared" si="0"/>
        <v>782.28919330289204</v>
      </c>
      <c r="N9" s="16">
        <f t="shared" si="0"/>
        <v>782.28919330289204</v>
      </c>
      <c r="O9" s="16">
        <f t="shared" si="0"/>
        <v>782.28919330289204</v>
      </c>
      <c r="P9" s="16">
        <f t="shared" si="0"/>
        <v>782.28919330289204</v>
      </c>
      <c r="Q9" s="16">
        <f t="shared" si="0"/>
        <v>1612.9421613394215</v>
      </c>
    </row>
    <row r="10" spans="1:19" x14ac:dyDescent="0.35">
      <c r="A10" s="12" t="s">
        <v>32</v>
      </c>
      <c r="B10" s="9">
        <v>95.826679999999996</v>
      </c>
      <c r="C10" s="9">
        <v>164.4684</v>
      </c>
      <c r="D10" s="9">
        <v>164.4684</v>
      </c>
      <c r="E10" s="9">
        <v>164.4684</v>
      </c>
      <c r="F10" s="9">
        <v>164.4684</v>
      </c>
      <c r="G10" s="9">
        <v>164.4684</v>
      </c>
      <c r="H10" s="9">
        <v>339.10500000000002</v>
      </c>
      <c r="J10" s="15">
        <v>0.75</v>
      </c>
      <c r="K10" s="16">
        <f t="shared" si="1"/>
        <v>14.585491628614916</v>
      </c>
      <c r="L10" s="17">
        <f t="shared" ref="L10:N11" si="2">C10/($J10*365*24*1000)</f>
        <v>2.5033242009132419E-5</v>
      </c>
      <c r="M10" s="16">
        <f t="shared" si="2"/>
        <v>2.5033242009132419E-5</v>
      </c>
      <c r="N10" s="16">
        <f t="shared" si="2"/>
        <v>2.5033242009132419E-5</v>
      </c>
      <c r="O10" s="16">
        <f t="shared" ref="O10:O11" si="3">F10/($J10*365*24*1000)</f>
        <v>2.5033242009132419E-5</v>
      </c>
      <c r="P10" s="16">
        <f t="shared" ref="P10:Q11" si="4">G10/($J10*365*24*1000)</f>
        <v>2.5033242009132419E-5</v>
      </c>
      <c r="Q10" s="16">
        <f t="shared" si="4"/>
        <v>5.1614155251141557E-5</v>
      </c>
    </row>
    <row r="11" spans="1:19" x14ac:dyDescent="0.35">
      <c r="A11" s="12" t="s">
        <v>33</v>
      </c>
      <c r="B11" s="9">
        <v>239.56670000000003</v>
      </c>
      <c r="C11" s="9">
        <v>822.34219999999993</v>
      </c>
      <c r="D11" s="9">
        <v>411.17109999999997</v>
      </c>
      <c r="E11" s="9">
        <v>411.17109999999997</v>
      </c>
      <c r="F11" s="9">
        <v>411.17109999999997</v>
      </c>
      <c r="G11" s="9">
        <v>411.17109999999997</v>
      </c>
      <c r="H11" s="9">
        <v>847.76240000000007</v>
      </c>
      <c r="J11" s="15">
        <v>1</v>
      </c>
      <c r="K11" s="16">
        <f t="shared" si="1"/>
        <v>27.347796803652969</v>
      </c>
      <c r="L11" s="16">
        <f t="shared" si="2"/>
        <v>9.3874680365296792E-5</v>
      </c>
      <c r="M11" s="16">
        <f t="shared" si="2"/>
        <v>4.6937340182648396E-5</v>
      </c>
      <c r="N11" s="16">
        <f t="shared" si="2"/>
        <v>4.6937340182648396E-5</v>
      </c>
      <c r="O11" s="16">
        <f t="shared" si="3"/>
        <v>4.6937340182648396E-5</v>
      </c>
      <c r="P11" s="16">
        <f t="shared" si="4"/>
        <v>4.6937340182648396E-5</v>
      </c>
      <c r="Q11" s="16">
        <f t="shared" si="4"/>
        <v>9.6776529680365307E-5</v>
      </c>
    </row>
    <row r="12" spans="1:19" x14ac:dyDescent="0.35">
      <c r="A12" s="9" t="s">
        <v>17</v>
      </c>
      <c r="B12" s="9">
        <f>SUM(B3:B11)</f>
        <v>4791.3348600000008</v>
      </c>
      <c r="C12" s="9">
        <f t="shared" ref="C12:H12" si="5">SUM(C3:C11)</f>
        <v>8223.4225399999996</v>
      </c>
      <c r="D12" s="9">
        <f t="shared" si="5"/>
        <v>8223.42274</v>
      </c>
      <c r="E12" s="9">
        <f t="shared" si="5"/>
        <v>8223.42274</v>
      </c>
      <c r="F12" s="9">
        <f t="shared" si="5"/>
        <v>8223.4226399999989</v>
      </c>
      <c r="G12" s="9">
        <f t="shared" si="5"/>
        <v>8223.4226399999989</v>
      </c>
      <c r="H12" s="9">
        <f t="shared" si="5"/>
        <v>16955.2484</v>
      </c>
      <c r="K12" s="16"/>
    </row>
  </sheetData>
  <phoneticPr fontId="1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5064D-FA63-4D76-8C3B-333C4444BBC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 Comparison</vt:lpstr>
      <vt:lpstr>Scenarios</vt:lpstr>
      <vt:lpstr>model</vt:lpstr>
      <vt:lpstr>evaluation</vt:lpstr>
      <vt:lpstr>model_validation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Khushee Binwal</dc:creator>
  <cp:lastModifiedBy>Khushee Binwal</cp:lastModifiedBy>
  <dcterms:created xsi:type="dcterms:W3CDTF">2025-11-03T10:17:51Z</dcterms:created>
  <dcterms:modified xsi:type="dcterms:W3CDTF">2025-11-07T03:47:35Z</dcterms:modified>
</cp:coreProperties>
</file>